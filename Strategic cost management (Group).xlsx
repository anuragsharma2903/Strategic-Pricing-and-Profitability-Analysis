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weekly estimate" sheetId="1" r:id="rId5"/>
    <sheet state="visible" name="Monthly demandestimate" sheetId="2" r:id="rId6"/>
    <sheet state="visible" name="BEP values" sheetId="3" r:id="rId7"/>
    <sheet state="visible" name="BEP productwise" sheetId="4" r:id="rId8"/>
    <sheet state="visible" name="Costing" sheetId="5" r:id="rId9"/>
  </sheets>
  <definedNames/>
  <calcPr/>
</workbook>
</file>

<file path=xl/sharedStrings.xml><?xml version="1.0" encoding="utf-8"?>
<sst xmlns="http://schemas.openxmlformats.org/spreadsheetml/2006/main" count="226" uniqueCount="177">
  <si>
    <t>Week Type</t>
  </si>
  <si>
    <t>Mon</t>
  </si>
  <si>
    <t>Tue</t>
  </si>
  <si>
    <t>Wed</t>
  </si>
  <si>
    <t>Thu</t>
  </si>
  <si>
    <t>Fri</t>
  </si>
  <si>
    <t>Sat</t>
  </si>
  <si>
    <t>Sun</t>
  </si>
  <si>
    <t>Total Orders</t>
  </si>
  <si>
    <t>Revenue (₹)</t>
  </si>
  <si>
    <t>Assumptions/Logic</t>
  </si>
  <si>
    <t>Regular</t>
  </si>
  <si>
    <t>Data source- Subway manager</t>
  </si>
  <si>
    <t>Peak (Fest)</t>
  </si>
  <si>
    <t>Lean (Holiday)</t>
  </si>
  <si>
    <t>In holidays we took assumption of 70% of avg orders by assuming 75% of UGs and 10%PGs  are gone on vacation and only remaining students , faculties visiting the shop</t>
  </si>
  <si>
    <t>Month</t>
  </si>
  <si>
    <t>Days (Peak)</t>
  </si>
  <si>
    <t>Days (Reg)</t>
  </si>
  <si>
    <t>Days (Lean)</t>
  </si>
  <si>
    <t>Var Cost (46.87%)</t>
  </si>
  <si>
    <t>Fixed Cost (Actual)</t>
  </si>
  <si>
    <t>Net Profit (₹)</t>
  </si>
  <si>
    <t>Net profit after initial cost</t>
  </si>
  <si>
    <t>Remark(Assumptions)</t>
  </si>
  <si>
    <t>Nov</t>
  </si>
  <si>
    <t>Peak- Diwali, Lean- Endsem holidays</t>
  </si>
  <si>
    <t>Dec</t>
  </si>
  <si>
    <t>peak-Inter iit,lean-winter holiday of UG students</t>
  </si>
  <si>
    <t>Jan</t>
  </si>
  <si>
    <t>peak-republic day,lean-winter holiday of UG students</t>
  </si>
  <si>
    <t>Feb</t>
  </si>
  <si>
    <t>Peak- Valentine's week</t>
  </si>
  <si>
    <t>Mar</t>
  </si>
  <si>
    <t>Peak-techkriti</t>
  </si>
  <si>
    <t>Apr</t>
  </si>
  <si>
    <t>May</t>
  </si>
  <si>
    <t>Lean-Summer vacation</t>
  </si>
  <si>
    <t>Jun</t>
  </si>
  <si>
    <t>Jul</t>
  </si>
  <si>
    <t>Aug</t>
  </si>
  <si>
    <t>Peak-Independence day</t>
  </si>
  <si>
    <t>Sep</t>
  </si>
  <si>
    <t>NA</t>
  </si>
  <si>
    <t>Oct</t>
  </si>
  <si>
    <t>Peak-Antaragni, Udghosh</t>
  </si>
  <si>
    <t>Total(Annual)</t>
  </si>
  <si>
    <t>Day type</t>
  </si>
  <si>
    <t>Avg. no. of orders</t>
  </si>
  <si>
    <t>One time Initial Cost</t>
  </si>
  <si>
    <t>Units</t>
  </si>
  <si>
    <t>Cost per unit</t>
  </si>
  <si>
    <t>Total cost</t>
  </si>
  <si>
    <t>Chairs</t>
  </si>
  <si>
    <t>Table</t>
  </si>
  <si>
    <t>Counters</t>
  </si>
  <si>
    <t>Oven</t>
  </si>
  <si>
    <t>Chillers</t>
  </si>
  <si>
    <t>maintenance charges</t>
  </si>
  <si>
    <t>we took assumption</t>
  </si>
  <si>
    <t>Deep Fridger</t>
  </si>
  <si>
    <t>Rent</t>
  </si>
  <si>
    <t>Data given by manager</t>
  </si>
  <si>
    <t>Miscellaneous(other furniture etc..)</t>
  </si>
  <si>
    <t>Salary</t>
  </si>
  <si>
    <t>25000*3+11000*9</t>
  </si>
  <si>
    <t>Data given by manager(25000*3managers salary+11000*9 workers salary)</t>
  </si>
  <si>
    <t>Total</t>
  </si>
  <si>
    <t xml:space="preserve">Total Fixed cost </t>
  </si>
  <si>
    <t>Electricity</t>
  </si>
  <si>
    <t>counted in variable cost</t>
  </si>
  <si>
    <t>Data given by manager- avg electricity bill</t>
  </si>
  <si>
    <t>source of cost- Indiamart</t>
  </si>
  <si>
    <t>COGS</t>
  </si>
  <si>
    <t>Varies</t>
  </si>
  <si>
    <t>source of data- we counted chairs, tables, counters and got other data from shop manager</t>
  </si>
  <si>
    <t>Orders</t>
  </si>
  <si>
    <t>Total Sales</t>
  </si>
  <si>
    <t>Total Variable cost</t>
  </si>
  <si>
    <t>Fixed cost</t>
  </si>
  <si>
    <t>Total Cost</t>
  </si>
  <si>
    <t>Total contribution</t>
  </si>
  <si>
    <t>Profit</t>
  </si>
  <si>
    <t>Contribution/Sales</t>
  </si>
  <si>
    <t>Profit/Sales</t>
  </si>
  <si>
    <t>Column 1</t>
  </si>
  <si>
    <t>total variable cost for 3090 orders of one month</t>
  </si>
  <si>
    <t>raw material cost</t>
  </si>
  <si>
    <t>150000*2(each 15 days)</t>
  </si>
  <si>
    <t xml:space="preserve">grocery </t>
  </si>
  <si>
    <t>electricity bill</t>
  </si>
  <si>
    <t>total VC</t>
  </si>
  <si>
    <t>VC per item</t>
  </si>
  <si>
    <t>BEP</t>
  </si>
  <si>
    <t>Brand</t>
  </si>
  <si>
    <t>Cheesy Paneer tikka</t>
  </si>
  <si>
    <t>Aloo patty</t>
  </si>
  <si>
    <t>Veg shami</t>
  </si>
  <si>
    <t>Chicken Keema Melt</t>
  </si>
  <si>
    <t>Tandoori chicken Tikka</t>
  </si>
  <si>
    <t>American BBQ</t>
  </si>
  <si>
    <t>Cheesy mexican</t>
  </si>
  <si>
    <t>Veggie Delite</t>
  </si>
  <si>
    <t>Product mix</t>
  </si>
  <si>
    <t>Selling price</t>
  </si>
  <si>
    <t>Variable cost</t>
  </si>
  <si>
    <t>Contribution</t>
  </si>
  <si>
    <t>Monthly Fixed cost</t>
  </si>
  <si>
    <t>Sales mix bag</t>
  </si>
  <si>
    <t>10:8:7:9:6:4:7:9</t>
  </si>
  <si>
    <t>Contribution per Sales mix bag</t>
  </si>
  <si>
    <t>BEP per sales mix bag</t>
  </si>
  <si>
    <t>BEP product wise</t>
  </si>
  <si>
    <t>Assumption- Product mix as these are most sold products except American BBQ.(we got to know this from shop manager)</t>
  </si>
  <si>
    <t>rates list reference from hall 2mess</t>
  </si>
  <si>
    <t>list</t>
  </si>
  <si>
    <t>Category</t>
  </si>
  <si>
    <t>Item</t>
  </si>
  <si>
    <t>Rate (₹)</t>
  </si>
  <si>
    <t>Unit</t>
  </si>
  <si>
    <t>Source</t>
  </si>
  <si>
    <t>Dairy &amp; Protein</t>
  </si>
  <si>
    <t>Paneer (Fresh)</t>
  </si>
  <si>
    <t>Kg</t>
  </si>
  <si>
    <t>Rate List (Row 71)</t>
  </si>
  <si>
    <t>Chicken (Raw)</t>
  </si>
  <si>
    <t>Rate List (Row 165)</t>
  </si>
  <si>
    <t>Cheese Slices</t>
  </si>
  <si>
    <t>Estimated (Premium)</t>
  </si>
  <si>
    <t>Vegetables</t>
  </si>
  <si>
    <t>Potatoes (Chipsona)</t>
  </si>
  <si>
    <t>Rate List (Row 122)</t>
  </si>
  <si>
    <t>Onions</t>
  </si>
  <si>
    <t>Rate List (Row 123)</t>
  </si>
  <si>
    <t>Tomatoes</t>
  </si>
  <si>
    <t>Rate List (Row 124)</t>
  </si>
  <si>
    <t>Capsicum (Shimla)</t>
  </si>
  <si>
    <t>Rate List (Row 130)</t>
  </si>
  <si>
    <t>Lettuce (Green Valley)</t>
  </si>
  <si>
    <t>Rate List (Row 140)</t>
  </si>
  <si>
    <t>Cucumber (Kheera)</t>
  </si>
  <si>
    <t>Rate List (Row 121)</t>
  </si>
  <si>
    <t>Bakery</t>
  </si>
  <si>
    <t>Sub Buns (6 inch)</t>
  </si>
  <si>
    <t>Pc</t>
  </si>
  <si>
    <t>Transfer Price (Est)</t>
  </si>
  <si>
    <t>Sauces</t>
  </si>
  <si>
    <t>Mayonnaise (Base)</t>
  </si>
  <si>
    <t>Rate List (Row 107)</t>
  </si>
  <si>
    <t>Premium Sauces (SW)</t>
  </si>
  <si>
    <t>Estimated (Costlier)</t>
  </si>
  <si>
    <t>Packaging</t>
  </si>
  <si>
    <t>Paper/Wrap/Tissue</t>
  </si>
  <si>
    <t>Set</t>
  </si>
  <si>
    <t>Estimated</t>
  </si>
  <si>
    <t>Product Name</t>
  </si>
  <si>
    <t>Selling Price</t>
  </si>
  <si>
    <t>Protein Cost</t>
  </si>
  <si>
    <t>Bread Cost</t>
  </si>
  <si>
    <t>Veggies Cost</t>
  </si>
  <si>
    <t>Cheese Cost</t>
  </si>
  <si>
    <t>Sauces Cost</t>
  </si>
  <si>
    <t>Total COGS</t>
  </si>
  <si>
    <t>Contribution (₹)</t>
  </si>
  <si>
    <t>Margin %</t>
  </si>
  <si>
    <t>Markup%</t>
  </si>
  <si>
    <t>Cheesy Paneer Tikka</t>
  </si>
  <si>
    <t>Veg</t>
  </si>
  <si>
    <t>Aloo Patty</t>
  </si>
  <si>
    <t>Veg Shami</t>
  </si>
  <si>
    <t>Non-Veg</t>
  </si>
  <si>
    <t>Tandoori Chicken Tikka</t>
  </si>
  <si>
    <t>Cheesy American BBQ</t>
  </si>
  <si>
    <t>Cheesy Mexican</t>
  </si>
  <si>
    <t>Assumptions: Took paneer and chicken both as protein cost</t>
  </si>
  <si>
    <t>Assumptions: Took hall 2 mess grocery purchase list and assumed same purchase price</t>
  </si>
  <si>
    <t>Assumptions: Assumed cheese, packaging and sauces costs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</si>
</sst>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1F1F1F"/>
      <name val="'Google Sans Text'"/>
    </font>
    <font>
      <sz val="12.0"/>
      <color rgb="FF1F1F1F"/>
      <name val="'Google Sans Text'"/>
    </font>
    <font>
      <b/>
      <sz val="11.0"/>
      <color theme="1"/>
      <name val="'Google Sans Text'"/>
    </font>
    <font>
      <b/>
      <sz val="11.0"/>
      <color theme="1"/>
      <name val="Google Sans Text"/>
    </font>
    <font>
      <b/>
      <sz val="11.0"/>
      <color rgb="FF1F1F1F"/>
      <name val="'Google Sans Text'"/>
    </font>
    <font>
      <sz val="11.0"/>
      <color rgb="FF1F1F1F"/>
      <name val="'Google Sans Text'"/>
    </font>
    <font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3.0"/>
      <color theme="1"/>
      <name val="Arial"/>
      <scheme val="minor"/>
    </font>
    <font>
      <sz val="13.0"/>
      <color theme="1"/>
      <name val="Arial"/>
    </font>
    <font>
      <sz val="14.0"/>
      <color theme="1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  <scheme val="minor"/>
    </font>
    <font>
      <color theme="1"/>
      <name val="Arial"/>
    </font>
    <font>
      <b/>
      <sz val="15.0"/>
      <color rgb="FF000000"/>
      <name val="Calibri"/>
    </font>
    <font>
      <b/>
      <sz val="15.0"/>
      <color rgb="FF000000"/>
      <name val="Arial"/>
      <scheme val="minor"/>
    </font>
    <font>
      <b/>
      <sz val="15.0"/>
      <color theme="1"/>
      <name val="Arial"/>
      <scheme val="minor"/>
    </font>
    <font>
      <sz val="14.0"/>
      <color rgb="FF000000"/>
      <name val="Calibri"/>
    </font>
    <font/>
    <font>
      <b/>
      <sz val="14.0"/>
      <color rgb="FF000000"/>
      <name val="Calibri"/>
    </font>
    <font>
      <sz val="11.0"/>
      <color rgb="FF000000"/>
      <name val="Calibri"/>
    </font>
    <font>
      <sz val="14.0"/>
      <color rgb="FF000000"/>
      <name val="Arial"/>
      <scheme val="minor"/>
    </font>
    <font>
      <b/>
      <sz val="14.0"/>
      <color rgb="FF000000"/>
      <name val="Arial"/>
      <scheme val="minor"/>
    </font>
    <font>
      <u/>
      <sz val="14.0"/>
      <color rgb="FF0000FF"/>
    </font>
    <font>
      <b/>
      <sz val="14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82CA3F"/>
        <bgColor rgb="FF82CA3F"/>
      </patternFill>
    </fill>
    <fill>
      <patternFill patternType="solid">
        <fgColor rgb="FFFDB409"/>
        <bgColor rgb="FFFDB409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B"/>
        <bgColor rgb="FFFFFF0B"/>
      </patternFill>
    </fill>
    <fill>
      <patternFill patternType="solid">
        <fgColor theme="6"/>
        <bgColor theme="6"/>
      </patternFill>
    </fill>
    <fill>
      <patternFill patternType="solid">
        <fgColor rgb="FFB2B2B2"/>
        <bgColor rgb="FFB2B2B2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</border>
    <border>
      <left style="thin">
        <color rgb="FF9A9A9A"/>
      </left>
      <right style="thin">
        <color rgb="FF9A9A9A"/>
      </right>
      <top style="thin">
        <color rgb="FF000000"/>
      </top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3" numFmtId="3" xfId="0" applyAlignment="1" applyBorder="1" applyFont="1" applyNumberFormat="1">
      <alignment horizontal="left" readingOrder="0" shrinkToFit="0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7" numFmtId="3" xfId="0" applyAlignment="1" applyBorder="1" applyFont="1" applyNumberForma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0"/>
    </xf>
    <xf borderId="1" fillId="2" fontId="7" numFmtId="3" xfId="0" applyAlignment="1" applyBorder="1" applyFill="1" applyFont="1" applyNumberFormat="1">
      <alignment readingOrder="0" shrinkToFit="0" vertical="center" wrapText="1"/>
    </xf>
    <xf borderId="0" fillId="0" fontId="6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wrapText="1"/>
    </xf>
    <xf borderId="1" fillId="3" fontId="7" numFmtId="3" xfId="0" applyAlignment="1" applyBorder="1" applyFill="1" applyFont="1" applyNumberFormat="1">
      <alignment readingOrder="0" shrinkToFit="0" vertical="center" wrapText="1"/>
    </xf>
    <xf borderId="1" fillId="4" fontId="7" numFmtId="3" xfId="0" applyAlignment="1" applyBorder="1" applyFill="1" applyFont="1" applyNumberFormat="1">
      <alignment readingOrder="0" shrinkToFit="0" vertical="center" wrapText="1"/>
    </xf>
    <xf borderId="0" fillId="0" fontId="9" numFmtId="0" xfId="0" applyFont="1"/>
    <xf borderId="0" fillId="5" fontId="6" numFmtId="0" xfId="0" applyAlignment="1" applyFill="1" applyFont="1">
      <alignment horizontal="left" readingOrder="0" shrinkToFit="0" vertical="center" wrapText="1"/>
    </xf>
    <xf borderId="0" fillId="5" fontId="7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readingOrder="0" shrinkToFit="0" vertical="center" wrapText="1"/>
    </xf>
    <xf borderId="0" fillId="5" fontId="8" numFmtId="0" xfId="0" applyAlignment="1" applyFont="1">
      <alignment readingOrder="0" shrinkToFit="0" vertical="center" wrapText="0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horizontal="left" readingOrder="0" shrinkToFit="0" wrapText="1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1" fillId="6" fontId="11" numFmtId="0" xfId="0" applyAlignment="1" applyBorder="1" applyFill="1" applyFont="1">
      <alignment readingOrder="0"/>
    </xf>
    <xf borderId="1" fillId="6" fontId="11" numFmtId="0" xfId="0" applyBorder="1" applyFont="1"/>
    <xf borderId="2" fillId="6" fontId="12" numFmtId="0" xfId="0" applyAlignment="1" applyBorder="1" applyFont="1">
      <alignment vertical="bottom"/>
    </xf>
    <xf borderId="2" fillId="6" fontId="12" numFmtId="0" xfId="0" applyAlignment="1" applyBorder="1" applyFont="1">
      <alignment horizontal="right" vertical="bottom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0"/>
    </xf>
    <xf borderId="1" fillId="6" fontId="12" numFmtId="0" xfId="0" applyAlignment="1" applyBorder="1" applyFont="1">
      <alignment vertical="bottom"/>
    </xf>
    <xf borderId="1" fillId="6" fontId="12" numFmtId="0" xfId="0" applyAlignment="1" applyBorder="1" applyFont="1">
      <alignment horizontal="right" vertical="bottom"/>
    </xf>
    <xf borderId="1" fillId="6" fontId="12" numFmtId="0" xfId="0" applyAlignment="1" applyBorder="1" applyFont="1">
      <alignment readingOrder="0" vertical="bottom"/>
    </xf>
    <xf borderId="1" fillId="3" fontId="12" numFmtId="0" xfId="0" applyAlignment="1" applyBorder="1" applyFont="1">
      <alignment vertical="bottom"/>
    </xf>
    <xf borderId="1" fillId="3" fontId="12" numFmtId="0" xfId="0" applyAlignment="1" applyBorder="1" applyFont="1">
      <alignment horizontal="right" readingOrder="0" vertical="bottom"/>
    </xf>
    <xf borderId="1" fillId="3" fontId="12" numFmtId="0" xfId="0" applyAlignment="1" applyBorder="1" applyFont="1">
      <alignment readingOrder="0" vertical="bottom"/>
    </xf>
    <xf borderId="0" fillId="0" fontId="13" numFmtId="0" xfId="0" applyAlignment="1" applyFont="1">
      <alignment readingOrder="0"/>
    </xf>
    <xf borderId="0" fillId="0" fontId="11" numFmtId="0" xfId="0" applyFont="1"/>
    <xf borderId="0" fillId="0" fontId="14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3" fillId="0" fontId="9" numFmtId="0" xfId="0" applyAlignment="1" applyBorder="1" applyFont="1">
      <alignment readingOrder="0" shrinkToFit="0" vertical="center" wrapText="0"/>
    </xf>
    <xf borderId="3" fillId="0" fontId="9" numFmtId="0" xfId="0" applyAlignment="1" applyBorder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15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3" fillId="7" fontId="9" numFmtId="0" xfId="0" applyAlignment="1" applyBorder="1" applyFill="1" applyFont="1">
      <alignment readingOrder="0" shrinkToFit="0" vertical="center" wrapText="0"/>
    </xf>
    <xf borderId="3" fillId="7" fontId="9" numFmtId="0" xfId="0" applyAlignment="1" applyBorder="1" applyFont="1">
      <alignment shrinkToFit="0" vertical="center" wrapText="0"/>
    </xf>
    <xf borderId="0" fillId="7" fontId="9" numFmtId="0" xfId="0" applyAlignment="1" applyFont="1">
      <alignment readingOrder="0" shrinkToFit="0" vertical="center" wrapText="0"/>
    </xf>
    <xf borderId="1" fillId="6" fontId="9" numFmtId="0" xfId="0" applyAlignment="1" applyBorder="1" applyFont="1">
      <alignment readingOrder="0"/>
    </xf>
    <xf borderId="1" fillId="6" fontId="9" numFmtId="0" xfId="0" applyBorder="1" applyFont="1"/>
    <xf borderId="2" fillId="6" fontId="16" numFmtId="0" xfId="0" applyAlignment="1" applyBorder="1" applyFont="1">
      <alignment vertical="bottom"/>
    </xf>
    <xf borderId="2" fillId="6" fontId="16" numFmtId="0" xfId="0" applyAlignment="1" applyBorder="1" applyFont="1">
      <alignment horizontal="right" vertical="bottom"/>
    </xf>
    <xf borderId="1" fillId="6" fontId="16" numFmtId="0" xfId="0" applyAlignment="1" applyBorder="1" applyFont="1">
      <alignment vertical="bottom"/>
    </xf>
    <xf borderId="1" fillId="6" fontId="16" numFmtId="0" xfId="0" applyAlignment="1" applyBorder="1" applyFont="1">
      <alignment horizontal="right" vertical="bottom"/>
    </xf>
    <xf borderId="1" fillId="6" fontId="16" numFmtId="0" xfId="0" applyAlignment="1" applyBorder="1" applyFont="1">
      <alignment readingOrder="0" vertical="bottom"/>
    </xf>
    <xf borderId="1" fillId="3" fontId="16" numFmtId="0" xfId="0" applyAlignment="1" applyBorder="1" applyFont="1">
      <alignment vertical="bottom"/>
    </xf>
    <xf borderId="1" fillId="3" fontId="16" numFmtId="0" xfId="0" applyAlignment="1" applyBorder="1" applyFont="1">
      <alignment horizontal="right" readingOrder="0" vertical="bottom"/>
    </xf>
    <xf borderId="1" fillId="3" fontId="16" numFmtId="0" xfId="0" applyAlignment="1" applyBorder="1" applyFont="1">
      <alignment readingOrder="0" vertical="bottom"/>
    </xf>
    <xf borderId="3" fillId="8" fontId="17" numFmtId="0" xfId="0" applyAlignment="1" applyBorder="1" applyFill="1" applyFont="1">
      <alignment readingOrder="0" shrinkToFit="0" vertical="bottom" wrapText="1"/>
    </xf>
    <xf borderId="3" fillId="8" fontId="18" numFmtId="0" xfId="0" applyAlignment="1" applyBorder="1" applyFont="1">
      <alignment readingOrder="0" shrinkToFit="0" wrapText="1"/>
    </xf>
    <xf borderId="0" fillId="0" fontId="19" numFmtId="0" xfId="0" applyAlignment="1" applyFont="1">
      <alignment shrinkToFit="0" wrapText="1"/>
    </xf>
    <xf borderId="3" fillId="0" fontId="20" numFmtId="0" xfId="0" applyAlignment="1" applyBorder="1" applyFont="1">
      <alignment readingOrder="0" vertical="bottom"/>
    </xf>
    <xf borderId="3" fillId="3" fontId="20" numFmtId="0" xfId="0" applyAlignment="1" applyBorder="1" applyFont="1">
      <alignment readingOrder="0" vertical="bottom"/>
    </xf>
    <xf borderId="3" fillId="3" fontId="13" numFmtId="0" xfId="0" applyAlignment="1" applyBorder="1" applyFont="1">
      <alignment readingOrder="0"/>
    </xf>
    <xf borderId="0" fillId="0" fontId="13" numFmtId="0" xfId="0" applyFont="1"/>
    <xf borderId="3" fillId="6" fontId="20" numFmtId="0" xfId="0" applyAlignment="1" applyBorder="1" applyFont="1">
      <alignment readingOrder="0" vertical="bottom"/>
    </xf>
    <xf borderId="3" fillId="9" fontId="20" numFmtId="0" xfId="0" applyAlignment="1" applyBorder="1" applyFill="1" applyFont="1">
      <alignment readingOrder="0" vertical="bottom"/>
    </xf>
    <xf borderId="0" fillId="0" fontId="20" numFmtId="0" xfId="0" applyAlignment="1" applyFont="1">
      <alignment readingOrder="0" vertical="bottom"/>
    </xf>
    <xf borderId="4" fillId="3" fontId="13" numFmtId="0" xfId="0" applyAlignment="1" applyBorder="1" applyFont="1">
      <alignment horizontal="center" readingOrder="0"/>
    </xf>
    <xf borderId="5" fillId="0" fontId="21" numFmtId="0" xfId="0" applyBorder="1" applyFont="1"/>
    <xf borderId="6" fillId="0" fontId="21" numFmtId="0" xfId="0" applyBorder="1" applyFont="1"/>
    <xf borderId="3" fillId="8" fontId="22" numFmtId="0" xfId="0" applyAlignment="1" applyBorder="1" applyFont="1">
      <alignment readingOrder="0" vertical="bottom"/>
    </xf>
    <xf borderId="3" fillId="8" fontId="23" numFmtId="0" xfId="0" applyAlignment="1" applyBorder="1" applyFont="1">
      <alignment shrinkToFit="0" vertical="bottom" wrapText="0"/>
    </xf>
    <xf borderId="3" fillId="8" fontId="20" numFmtId="0" xfId="0" applyAlignment="1" applyBorder="1" applyFont="1">
      <alignment readingOrder="0" vertical="bottom"/>
    </xf>
    <xf borderId="3" fillId="8" fontId="24" numFmtId="0" xfId="0" applyAlignment="1" applyBorder="1" applyFont="1">
      <alignment vertical="bottom"/>
    </xf>
    <xf borderId="3" fillId="0" fontId="22" numFmtId="0" xfId="0" applyAlignment="1" applyBorder="1" applyFont="1">
      <alignment readingOrder="0" shrinkToFit="0" vertical="bottom" wrapText="1"/>
    </xf>
    <xf borderId="3" fillId="0" fontId="24" numFmtId="0" xfId="0" applyAlignment="1" applyBorder="1" applyFont="1">
      <alignment vertical="bottom"/>
    </xf>
    <xf borderId="3" fillId="2" fontId="20" numFmtId="0" xfId="0" applyAlignment="1" applyBorder="1" applyFont="1">
      <alignment readingOrder="0" vertical="bottom"/>
    </xf>
    <xf borderId="3" fillId="0" fontId="22" numFmtId="0" xfId="0" applyAlignment="1" applyBorder="1" applyFont="1">
      <alignment readingOrder="0" vertical="bottom"/>
    </xf>
    <xf borderId="3" fillId="10" fontId="20" numFmtId="0" xfId="0" applyAlignment="1" applyBorder="1" applyFill="1" applyFont="1">
      <alignment readingOrder="0" vertical="bottom"/>
    </xf>
    <xf borderId="3" fillId="0" fontId="25" numFmtId="0" xfId="0" applyAlignment="1" applyBorder="1" applyFont="1">
      <alignment vertical="bottom"/>
    </xf>
    <xf borderId="0" fillId="0" fontId="11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horizontal="center" readingOrder="0" shrinkToFit="0" vertical="top" wrapText="0"/>
    </xf>
    <xf borderId="7" fillId="0" fontId="20" numFmtId="0" xfId="0" applyAlignment="1" applyBorder="1" applyFont="1">
      <alignment readingOrder="0" shrinkToFit="0" vertical="bottom" wrapText="0"/>
    </xf>
    <xf borderId="7" fillId="0" fontId="20" numFmtId="0" xfId="0" applyAlignment="1" applyBorder="1" applyFont="1">
      <alignment readingOrder="0" shrinkToFit="0" vertical="bottom" wrapText="0"/>
    </xf>
    <xf borderId="7" fillId="0" fontId="20" numFmtId="0" xfId="0" applyAlignment="1" applyBorder="1" applyFont="1">
      <alignment readingOrder="0" shrinkToFit="0" vertical="bottom" wrapText="0"/>
    </xf>
    <xf borderId="8" fillId="0" fontId="20" numFmtId="0" xfId="0" applyAlignment="1" applyBorder="1" applyFont="1">
      <alignment readingOrder="0" shrinkToFit="0" vertical="bottom" wrapText="0"/>
    </xf>
    <xf borderId="8" fillId="0" fontId="20" numFmtId="0" xfId="0" applyAlignment="1" applyBorder="1" applyFont="1">
      <alignment readingOrder="0" shrinkToFit="0" vertical="bottom" wrapText="0"/>
    </xf>
    <xf borderId="8" fillId="0" fontId="20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horizontal="left" readingOrder="0" shrinkToFit="0" vertical="center" wrapText="0"/>
    </xf>
    <xf borderId="7" fillId="0" fontId="20" numFmtId="10" xfId="0" applyAlignment="1" applyBorder="1" applyFont="1" applyNumberFormat="1">
      <alignment readingOrder="0" shrinkToFit="0" vertical="bottom" wrapText="0"/>
    </xf>
    <xf borderId="0" fillId="0" fontId="13" numFmtId="0" xfId="0" applyAlignment="1" applyFont="1">
      <alignment shrinkToFit="0" vertical="center" wrapText="0"/>
    </xf>
    <xf borderId="9" fillId="0" fontId="20" numFmtId="0" xfId="0" applyAlignment="1" applyBorder="1" applyFont="1">
      <alignment readingOrder="0" shrinkToFit="0" vertical="bottom" wrapText="0"/>
    </xf>
    <xf borderId="9" fillId="0" fontId="20" numFmtId="0" xfId="0" applyAlignment="1" applyBorder="1" applyFont="1">
      <alignment readingOrder="0" shrinkToFit="0" vertical="bottom" wrapText="0"/>
    </xf>
    <xf borderId="9" fillId="0" fontId="20" numFmtId="0" xfId="0" applyAlignment="1" applyBorder="1" applyFont="1">
      <alignment readingOrder="0" shrinkToFit="0" vertical="bottom" wrapText="0"/>
    </xf>
    <xf borderId="10" fillId="0" fontId="20" numFmtId="0" xfId="0" applyAlignment="1" applyBorder="1" applyFont="1">
      <alignment readingOrder="0" shrinkToFit="0" vertical="bottom" wrapText="0"/>
    </xf>
    <xf borderId="10" fillId="0" fontId="20" numFmtId="10" xfId="0" applyAlignment="1" applyBorder="1" applyFont="1" applyNumberFormat="1">
      <alignment readingOrder="0" shrinkToFit="0" vertical="bottom" wrapText="0"/>
    </xf>
    <xf borderId="0" fillId="0" fontId="2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6F8F9"/>
          <bgColor rgb="FFF6F8F9"/>
        </patternFill>
      </fill>
      <border/>
    </dxf>
  </dxfs>
  <tableStyles count="5">
    <tableStyle count="4" pivot="0" name="Monthly demandestimate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Monthly demandestimate-style 2">
      <tableStyleElement dxfId="1" type="headerRow"/>
      <tableStyleElement dxfId="2" type="firstRowStripe"/>
      <tableStyleElement dxfId="4" type="secondRowStripe"/>
      <tableStyleElement dxfId="3" size="0" type="wholeTable"/>
    </tableStyle>
    <tableStyle count="4" pivot="0" name="BEP values-style">
      <tableStyleElement dxfId="1" type="headerRow"/>
      <tableStyleElement dxfId="2" type="firstRowStripe"/>
      <tableStyleElement dxfId="4" type="secondRowStripe"/>
      <tableStyleElement dxfId="3" size="0" type="wholeTable"/>
    </tableStyle>
    <tableStyle count="4" pivot="0" name="Costing-style">
      <tableStyleElement dxfId="1" type="headerRow"/>
      <tableStyleElement dxfId="2" type="firstRowStripe"/>
      <tableStyleElement dxfId="4" type="secondRowStripe"/>
      <tableStyleElement dxfId="3" size="0" type="wholeTable"/>
    </tableStyle>
    <tableStyle count="4" pivot="0" name="Costing-style 2">
      <tableStyleElement dxfId="1" type="headerRow"/>
      <tableStyleElement dxfId="2" type="firstRowStripe"/>
      <tableStyleElement dxfId="4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J15" displayName="Monthly_Financial_Performance" name="Monthly_Financial_Performance" id="1">
  <tableColumns count="10">
    <tableColumn name="Month" id="1"/>
    <tableColumn name="Days (Peak)" id="2"/>
    <tableColumn name="Days (Reg)" id="3"/>
    <tableColumn name="Days (Lean)" id="4"/>
    <tableColumn name="Revenue (₹)" id="5"/>
    <tableColumn name="Var Cost (46.87%)" id="6"/>
    <tableColumn name="Fixed Cost (Actual)" id="7"/>
    <tableColumn name="Net Profit (₹)" id="8"/>
    <tableColumn name="Net profit after initial cost" id="9"/>
    <tableColumn name="Remark(Assumptions)" id="10"/>
  </tableColumns>
  <tableStyleInfo name="Monthly demandestimate-style" showColumnStripes="0" showFirstColumn="1" showLastColumn="1" showRowStripes="1"/>
</table>
</file>

<file path=xl/tables/table2.xml><?xml version="1.0" encoding="utf-8"?>
<table xmlns="http://schemas.openxmlformats.org/spreadsheetml/2006/main" ref="B20:E28" displayName="Initial_investment" name="Initial_investment" id="2">
  <tableColumns count="4">
    <tableColumn name="One time Initial Cost" id="1"/>
    <tableColumn name="Units" id="2"/>
    <tableColumn name="Cost per unit" id="3"/>
    <tableColumn name="Total cost" id="4"/>
  </tableColumns>
  <tableStyleInfo name="Monthly demandestimate-style 2" showColumnStripes="0" showFirstColumn="1" showLastColumn="1" showRowStripes="1"/>
</table>
</file>

<file path=xl/tables/table3.xml><?xml version="1.0" encoding="utf-8"?>
<table xmlns="http://schemas.openxmlformats.org/spreadsheetml/2006/main" ref="A2:J19" displayName="Sales_Profitability_Analysis" name="Sales_Profitability_Analysis" id="3">
  <tableColumns count="10">
    <tableColumn name="Orders" id="1"/>
    <tableColumn name="Total Sales" id="2"/>
    <tableColumn name="Total Variable cost" id="3"/>
    <tableColumn name="Fixed cost" id="4"/>
    <tableColumn name="Total Cost" id="5"/>
    <tableColumn name="Total contribution" id="6"/>
    <tableColumn name="Profit" id="7"/>
    <tableColumn name="Contribution/Sales" id="8"/>
    <tableColumn name="Profit/Sales" id="9"/>
    <tableColumn name="Column 1" id="10"/>
  </tableColumns>
  <tableStyleInfo name="BEP values-style" showColumnStripes="0" showFirstColumn="1" showLastColumn="1" showRowStripes="1"/>
</table>
</file>

<file path=xl/tables/table4.xml><?xml version="1.0" encoding="utf-8"?>
<table xmlns="http://schemas.openxmlformats.org/spreadsheetml/2006/main" ref="B3:F16" displayName="Ingredient_Rate_Sheet" name="Ingredient_Rate_Sheet" id="4">
  <tableColumns count="5">
    <tableColumn name="Category" id="1"/>
    <tableColumn name="Item" id="2"/>
    <tableColumn name="Rate (₹)" id="3"/>
    <tableColumn name="Unit" id="4"/>
    <tableColumn name="Source" id="5"/>
  </tableColumns>
  <tableStyleInfo name="Costing-style" showColumnStripes="0" showFirstColumn="1" showLastColumn="1" showRowStripes="1"/>
</table>
</file>

<file path=xl/tables/table5.xml><?xml version="1.0" encoding="utf-8"?>
<table xmlns="http://schemas.openxmlformats.org/spreadsheetml/2006/main" ref="B23:N31" displayName="Product_Cost_Analysis" name="Product_Cost_Analysis" id="5">
  <tableColumns count="13">
    <tableColumn name="Product Name" id="1"/>
    <tableColumn name="Category" id="2"/>
    <tableColumn name="Selling Price" id="3"/>
    <tableColumn name="Protein Cost" id="4"/>
    <tableColumn name="Bread Cost" id="5"/>
    <tableColumn name="Veggies Cost" id="6"/>
    <tableColumn name="Cheese Cost" id="7"/>
    <tableColumn name="Sauces Cost" id="8"/>
    <tableColumn name="Packaging" id="9"/>
    <tableColumn name="Total COGS" id="10"/>
    <tableColumn name="Contribution (₹)" id="11"/>
    <tableColumn name="Margin %" id="12"/>
    <tableColumn name="Markup%" id="13"/>
  </tableColumns>
  <tableStyleInfo name="Costin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G24uxxhM4sSZw8O_vKtpwjZ6JKZ812B/edit?usp=sharing&amp;ouid=103124303871165070432&amp;rtpof=true&amp;sd=true" TargetMode="External"/><Relationship Id="rId2" Type="http://schemas.openxmlformats.org/officeDocument/2006/relationships/drawing" Target="../drawings/drawing5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3" width="6.38"/>
    <col customWidth="1" min="4" max="4" width="6.88"/>
    <col customWidth="1" min="5" max="5" width="6.0"/>
    <col customWidth="1" min="6" max="6" width="5.13"/>
    <col customWidth="1" min="7" max="7" width="5.5"/>
    <col customWidth="1" min="8" max="8" width="5.75"/>
    <col customWidth="1" min="9" max="9" width="13.5"/>
    <col customWidth="1" min="10" max="10" width="14.63"/>
    <col customWidth="1" min="11" max="11" width="69.63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>
      <c r="A3" s="2" t="s">
        <v>11</v>
      </c>
      <c r="B3" s="3">
        <v>110.0</v>
      </c>
      <c r="C3" s="3">
        <v>110.0</v>
      </c>
      <c r="D3" s="3">
        <v>110.0</v>
      </c>
      <c r="E3" s="3">
        <v>110.0</v>
      </c>
      <c r="F3" s="3">
        <v>110.0</v>
      </c>
      <c r="G3" s="3">
        <v>85.0</v>
      </c>
      <c r="H3" s="3">
        <v>85.0</v>
      </c>
      <c r="I3" s="3">
        <f t="shared" ref="I3:I5" si="1">sum(B3:H3)</f>
        <v>720</v>
      </c>
      <c r="J3" s="4">
        <f t="shared" ref="J3:J5" si="2">I3*290</f>
        <v>208800</v>
      </c>
      <c r="K3" s="4" t="s">
        <v>12</v>
      </c>
    </row>
    <row r="4">
      <c r="A4" s="2" t="s">
        <v>13</v>
      </c>
      <c r="B4" s="3">
        <v>250.0</v>
      </c>
      <c r="C4" s="3">
        <v>250.0</v>
      </c>
      <c r="D4" s="3">
        <v>250.0</v>
      </c>
      <c r="E4" s="3">
        <v>250.0</v>
      </c>
      <c r="F4" s="3">
        <v>250.0</v>
      </c>
      <c r="G4" s="3">
        <v>250.0</v>
      </c>
      <c r="H4" s="3">
        <v>250.0</v>
      </c>
      <c r="I4" s="3">
        <f t="shared" si="1"/>
        <v>1750</v>
      </c>
      <c r="J4" s="4">
        <f t="shared" si="2"/>
        <v>507500</v>
      </c>
      <c r="K4" s="4" t="s">
        <v>12</v>
      </c>
    </row>
    <row r="5">
      <c r="A5" s="2" t="s">
        <v>14</v>
      </c>
      <c r="B5" s="3">
        <v>75.0</v>
      </c>
      <c r="C5" s="3">
        <v>75.0</v>
      </c>
      <c r="D5" s="3">
        <v>75.0</v>
      </c>
      <c r="E5" s="3">
        <v>75.0</v>
      </c>
      <c r="F5" s="3">
        <v>75.0</v>
      </c>
      <c r="G5" s="3">
        <v>75.0</v>
      </c>
      <c r="H5" s="3">
        <v>75.0</v>
      </c>
      <c r="I5" s="3">
        <f t="shared" si="1"/>
        <v>525</v>
      </c>
      <c r="J5" s="4">
        <f t="shared" si="2"/>
        <v>152250</v>
      </c>
      <c r="K5" s="4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0.88"/>
    <col customWidth="1" min="3" max="3" width="13.63"/>
    <col customWidth="1" min="4" max="4" width="14.5"/>
    <col customWidth="1" min="5" max="5" width="15.38"/>
    <col customWidth="1" min="6" max="6" width="17.25"/>
    <col customWidth="1" min="7" max="7" width="16.0"/>
    <col customWidth="1" min="8" max="8" width="15.13"/>
    <col customWidth="1" min="9" max="9" width="26.25"/>
    <col customWidth="1" min="10" max="10" width="79.63"/>
    <col customWidth="1" min="11" max="11" width="5.88"/>
    <col customWidth="1" min="14" max="14" width="28.25"/>
    <col customWidth="1" min="16" max="16" width="15.0"/>
    <col customWidth="1" min="17" max="17" width="16.13"/>
  </cols>
  <sheetData>
    <row r="2" ht="22.5" customHeight="1">
      <c r="A2" s="5" t="s">
        <v>16</v>
      </c>
      <c r="B2" s="5" t="s">
        <v>17</v>
      </c>
      <c r="C2" s="5" t="s">
        <v>18</v>
      </c>
      <c r="D2" s="5" t="s">
        <v>19</v>
      </c>
      <c r="E2" s="5" t="s">
        <v>9</v>
      </c>
      <c r="F2" s="5" t="s">
        <v>20</v>
      </c>
      <c r="G2" s="5" t="s">
        <v>21</v>
      </c>
      <c r="H2" s="5" t="s">
        <v>22</v>
      </c>
      <c r="I2" s="5" t="s">
        <v>23</v>
      </c>
      <c r="J2" s="6" t="s">
        <v>24</v>
      </c>
    </row>
    <row r="3" ht="22.5" customHeight="1">
      <c r="A3" s="7" t="s">
        <v>25</v>
      </c>
      <c r="B3" s="8">
        <v>1.0</v>
      </c>
      <c r="C3" s="8">
        <v>26.0</v>
      </c>
      <c r="D3" s="8">
        <v>3.0</v>
      </c>
      <c r="E3" s="9">
        <f t="shared" ref="E3:E15" si="1">(B3*250+C3*110+D3*75)*290</f>
        <v>967150</v>
      </c>
      <c r="F3" s="9">
        <f t="shared" ref="F3:F15" si="2">0.4687*E3</f>
        <v>453303.205</v>
      </c>
      <c r="G3" s="9">
        <v>284000.0</v>
      </c>
      <c r="H3" s="9">
        <f t="shared" ref="H3:H15" si="3">E3-F3-G3</f>
        <v>229846.795</v>
      </c>
      <c r="I3" s="9">
        <f>H3-668000</f>
        <v>-438153.205</v>
      </c>
      <c r="J3" s="10" t="s">
        <v>26</v>
      </c>
    </row>
    <row r="4" ht="22.5" customHeight="1">
      <c r="A4" s="7" t="s">
        <v>27</v>
      </c>
      <c r="B4" s="8">
        <v>8.0</v>
      </c>
      <c r="C4" s="8">
        <v>0.0</v>
      </c>
      <c r="D4" s="8">
        <v>23.0</v>
      </c>
      <c r="E4" s="9">
        <f t="shared" si="1"/>
        <v>1080250</v>
      </c>
      <c r="F4" s="9">
        <f t="shared" si="2"/>
        <v>506313.175</v>
      </c>
      <c r="G4" s="9">
        <v>284000.0</v>
      </c>
      <c r="H4" s="9">
        <f t="shared" si="3"/>
        <v>289936.825</v>
      </c>
      <c r="I4" s="9">
        <f t="shared" ref="I4:I14" si="4">I3+H4</f>
        <v>-148216.38</v>
      </c>
      <c r="J4" s="10" t="s">
        <v>28</v>
      </c>
    </row>
    <row r="5" ht="22.5" customHeight="1">
      <c r="A5" s="7" t="s">
        <v>29</v>
      </c>
      <c r="B5" s="8">
        <v>1.0</v>
      </c>
      <c r="C5" s="8">
        <v>28.0</v>
      </c>
      <c r="D5" s="8">
        <v>2.0</v>
      </c>
      <c r="E5" s="9">
        <f t="shared" si="1"/>
        <v>1009200</v>
      </c>
      <c r="F5" s="9">
        <f t="shared" si="2"/>
        <v>473012.04</v>
      </c>
      <c r="G5" s="9">
        <v>284000.0</v>
      </c>
      <c r="H5" s="9">
        <f t="shared" si="3"/>
        <v>252187.96</v>
      </c>
      <c r="I5" s="11">
        <f t="shared" si="4"/>
        <v>103971.58</v>
      </c>
      <c r="J5" s="10" t="s">
        <v>30</v>
      </c>
      <c r="L5" s="12"/>
      <c r="M5" s="13"/>
    </row>
    <row r="6" ht="22.5" customHeight="1">
      <c r="A6" s="7" t="s">
        <v>31</v>
      </c>
      <c r="B6" s="8">
        <v>3.0</v>
      </c>
      <c r="C6" s="8">
        <v>25.0</v>
      </c>
      <c r="D6" s="8">
        <v>0.0</v>
      </c>
      <c r="E6" s="9">
        <f t="shared" si="1"/>
        <v>1015000</v>
      </c>
      <c r="F6" s="9">
        <f t="shared" si="2"/>
        <v>475730.5</v>
      </c>
      <c r="G6" s="9">
        <v>284000.0</v>
      </c>
      <c r="H6" s="9">
        <f t="shared" si="3"/>
        <v>255269.5</v>
      </c>
      <c r="I6" s="9">
        <f t="shared" si="4"/>
        <v>359241.08</v>
      </c>
      <c r="J6" s="10" t="s">
        <v>32</v>
      </c>
      <c r="L6" s="12"/>
      <c r="M6" s="13"/>
    </row>
    <row r="7" ht="22.5" customHeight="1">
      <c r="A7" s="7" t="s">
        <v>33</v>
      </c>
      <c r="B7" s="8">
        <v>4.0</v>
      </c>
      <c r="C7" s="8">
        <v>27.0</v>
      </c>
      <c r="D7" s="8">
        <v>0.0</v>
      </c>
      <c r="E7" s="9">
        <f t="shared" si="1"/>
        <v>1151300</v>
      </c>
      <c r="F7" s="9">
        <f t="shared" si="2"/>
        <v>539614.31</v>
      </c>
      <c r="G7" s="9">
        <v>284000.0</v>
      </c>
      <c r="H7" s="9">
        <f t="shared" si="3"/>
        <v>327685.69</v>
      </c>
      <c r="I7" s="9">
        <f t="shared" si="4"/>
        <v>686926.77</v>
      </c>
      <c r="J7" s="10" t="s">
        <v>34</v>
      </c>
      <c r="L7" s="12"/>
      <c r="M7" s="13"/>
    </row>
    <row r="8" ht="22.5" customHeight="1">
      <c r="A8" s="7" t="s">
        <v>35</v>
      </c>
      <c r="B8" s="8">
        <v>0.0</v>
      </c>
      <c r="C8" s="8">
        <v>30.0</v>
      </c>
      <c r="D8" s="8">
        <v>0.0</v>
      </c>
      <c r="E8" s="9">
        <f t="shared" si="1"/>
        <v>957000</v>
      </c>
      <c r="F8" s="9">
        <f t="shared" si="2"/>
        <v>448545.9</v>
      </c>
      <c r="G8" s="9">
        <v>284000.0</v>
      </c>
      <c r="H8" s="9">
        <f t="shared" si="3"/>
        <v>224454.1</v>
      </c>
      <c r="I8" s="9">
        <f t="shared" si="4"/>
        <v>911380.87</v>
      </c>
      <c r="J8" s="10"/>
    </row>
    <row r="9" ht="22.5" customHeight="1">
      <c r="A9" s="7" t="s">
        <v>36</v>
      </c>
      <c r="B9" s="8">
        <v>0.0</v>
      </c>
      <c r="C9" s="8">
        <v>0.0</v>
      </c>
      <c r="D9" s="8">
        <v>31.0</v>
      </c>
      <c r="E9" s="9">
        <f t="shared" si="1"/>
        <v>674250</v>
      </c>
      <c r="F9" s="9">
        <f t="shared" si="2"/>
        <v>316020.975</v>
      </c>
      <c r="G9" s="9">
        <v>284000.0</v>
      </c>
      <c r="H9" s="9">
        <f t="shared" si="3"/>
        <v>74229.025</v>
      </c>
      <c r="I9" s="9">
        <f t="shared" si="4"/>
        <v>985609.895</v>
      </c>
      <c r="J9" s="10" t="s">
        <v>37</v>
      </c>
    </row>
    <row r="10" ht="22.5" customHeight="1">
      <c r="A10" s="7" t="s">
        <v>38</v>
      </c>
      <c r="B10" s="8">
        <v>0.0</v>
      </c>
      <c r="C10" s="8">
        <v>0.0</v>
      </c>
      <c r="D10" s="8">
        <v>30.0</v>
      </c>
      <c r="E10" s="9">
        <f t="shared" si="1"/>
        <v>652500</v>
      </c>
      <c r="F10" s="9">
        <f t="shared" si="2"/>
        <v>305826.75</v>
      </c>
      <c r="G10" s="9">
        <v>284000.0</v>
      </c>
      <c r="H10" s="14">
        <f t="shared" si="3"/>
        <v>62673.25</v>
      </c>
      <c r="I10" s="9">
        <f t="shared" si="4"/>
        <v>1048283.145</v>
      </c>
      <c r="J10" s="10" t="s">
        <v>37</v>
      </c>
    </row>
    <row r="11" ht="22.5" customHeight="1">
      <c r="A11" s="7" t="s">
        <v>39</v>
      </c>
      <c r="B11" s="8">
        <v>0.0</v>
      </c>
      <c r="C11" s="8">
        <v>0.0</v>
      </c>
      <c r="D11" s="8">
        <v>31.0</v>
      </c>
      <c r="E11" s="9">
        <f t="shared" si="1"/>
        <v>674250</v>
      </c>
      <c r="F11" s="9">
        <f t="shared" si="2"/>
        <v>316020.975</v>
      </c>
      <c r="G11" s="9">
        <v>284000.0</v>
      </c>
      <c r="H11" s="9">
        <f t="shared" si="3"/>
        <v>74229.025</v>
      </c>
      <c r="I11" s="9">
        <f t="shared" si="4"/>
        <v>1122512.17</v>
      </c>
      <c r="J11" s="10" t="s">
        <v>37</v>
      </c>
    </row>
    <row r="12" ht="22.5" customHeight="1">
      <c r="A12" s="7" t="s">
        <v>40</v>
      </c>
      <c r="B12" s="8">
        <v>1.0</v>
      </c>
      <c r="C12" s="8">
        <v>30.0</v>
      </c>
      <c r="D12" s="8">
        <v>0.0</v>
      </c>
      <c r="E12" s="15">
        <f t="shared" si="1"/>
        <v>1029500</v>
      </c>
      <c r="F12" s="9">
        <f t="shared" si="2"/>
        <v>482526.65</v>
      </c>
      <c r="G12" s="9">
        <v>284000.0</v>
      </c>
      <c r="H12" s="9">
        <f t="shared" si="3"/>
        <v>262973.35</v>
      </c>
      <c r="I12" s="9">
        <f t="shared" si="4"/>
        <v>1385485.52</v>
      </c>
      <c r="J12" s="10" t="s">
        <v>41</v>
      </c>
    </row>
    <row r="13" ht="22.5" customHeight="1">
      <c r="A13" s="7" t="s">
        <v>42</v>
      </c>
      <c r="B13" s="8">
        <v>0.0</v>
      </c>
      <c r="C13" s="8">
        <v>30.0</v>
      </c>
      <c r="D13" s="8">
        <v>0.0</v>
      </c>
      <c r="E13" s="9">
        <f t="shared" si="1"/>
        <v>957000</v>
      </c>
      <c r="F13" s="9">
        <f t="shared" si="2"/>
        <v>448545.9</v>
      </c>
      <c r="G13" s="9">
        <v>284000.0</v>
      </c>
      <c r="H13" s="9">
        <f t="shared" si="3"/>
        <v>224454.1</v>
      </c>
      <c r="I13" s="9">
        <f t="shared" si="4"/>
        <v>1609939.62</v>
      </c>
      <c r="J13" s="10" t="s">
        <v>43</v>
      </c>
      <c r="N13" s="16"/>
      <c r="O13" s="16"/>
      <c r="P13" s="16"/>
      <c r="Q13" s="16"/>
    </row>
    <row r="14" ht="22.5" customHeight="1">
      <c r="A14" s="7" t="s">
        <v>44</v>
      </c>
      <c r="B14" s="8">
        <v>8.0</v>
      </c>
      <c r="C14" s="8">
        <v>23.0</v>
      </c>
      <c r="D14" s="8">
        <v>0.0</v>
      </c>
      <c r="E14" s="15">
        <f t="shared" si="1"/>
        <v>1313700</v>
      </c>
      <c r="F14" s="9">
        <f t="shared" si="2"/>
        <v>615731.19</v>
      </c>
      <c r="G14" s="9">
        <v>284000.0</v>
      </c>
      <c r="H14" s="11">
        <f t="shared" si="3"/>
        <v>413968.81</v>
      </c>
      <c r="I14" s="9">
        <f t="shared" si="4"/>
        <v>2023908.43</v>
      </c>
      <c r="J14" s="10" t="s">
        <v>45</v>
      </c>
      <c r="N14" s="16"/>
      <c r="O14" s="16"/>
      <c r="P14" s="16"/>
      <c r="Q14" s="16"/>
    </row>
    <row r="15" ht="22.5" customHeight="1">
      <c r="A15" s="17" t="s">
        <v>46</v>
      </c>
      <c r="B15" s="18">
        <f t="shared" ref="B15:D15" si="5">SUM(B3:B14)</f>
        <v>26</v>
      </c>
      <c r="C15" s="18">
        <f t="shared" si="5"/>
        <v>219</v>
      </c>
      <c r="D15" s="18">
        <f t="shared" si="5"/>
        <v>120</v>
      </c>
      <c r="E15" s="19">
        <f t="shared" si="1"/>
        <v>11481100</v>
      </c>
      <c r="F15" s="19">
        <f t="shared" si="2"/>
        <v>5381191.57</v>
      </c>
      <c r="G15" s="19">
        <f>SUM(G3:G14)</f>
        <v>3408000</v>
      </c>
      <c r="H15" s="19">
        <f t="shared" si="3"/>
        <v>2691908.43</v>
      </c>
      <c r="I15" s="19"/>
      <c r="J15" s="20"/>
      <c r="N15" s="16"/>
      <c r="O15" s="16"/>
      <c r="P15" s="16"/>
      <c r="Q15" s="16"/>
    </row>
    <row r="16">
      <c r="N16" s="16"/>
      <c r="O16" s="16"/>
      <c r="P16" s="16"/>
      <c r="Q16" s="16"/>
    </row>
    <row r="17">
      <c r="N17" s="16"/>
      <c r="O17" s="16"/>
      <c r="P17" s="16"/>
      <c r="Q17" s="16"/>
    </row>
    <row r="18">
      <c r="N18" s="16"/>
      <c r="O18" s="16"/>
      <c r="P18" s="16"/>
      <c r="Q18" s="16"/>
    </row>
    <row r="19">
      <c r="H19" s="21" t="s">
        <v>47</v>
      </c>
      <c r="I19" s="22" t="s">
        <v>48</v>
      </c>
      <c r="N19" s="16"/>
      <c r="O19" s="16"/>
      <c r="P19" s="16"/>
      <c r="Q19" s="16"/>
    </row>
    <row r="20" ht="22.5" customHeight="1">
      <c r="B20" s="23" t="s">
        <v>49</v>
      </c>
      <c r="C20" s="23" t="s">
        <v>50</v>
      </c>
      <c r="D20" s="23" t="s">
        <v>51</v>
      </c>
      <c r="E20" s="23" t="s">
        <v>52</v>
      </c>
      <c r="H20" s="24" t="s">
        <v>11</v>
      </c>
      <c r="I20" s="25">
        <v>110.0</v>
      </c>
      <c r="N20" s="16"/>
      <c r="O20" s="16"/>
      <c r="P20" s="16"/>
      <c r="Q20" s="16"/>
    </row>
    <row r="21" ht="22.5" customHeight="1">
      <c r="B21" s="26" t="s">
        <v>53</v>
      </c>
      <c r="C21" s="26">
        <v>28.0</v>
      </c>
      <c r="D21" s="26">
        <v>1500.0</v>
      </c>
      <c r="E21" s="27">
        <f t="shared" ref="E21:E26" si="6">C21*D21</f>
        <v>42000</v>
      </c>
      <c r="H21" s="24" t="s">
        <v>13</v>
      </c>
      <c r="I21" s="25">
        <v>250.0</v>
      </c>
      <c r="N21" s="16"/>
      <c r="O21" s="16"/>
      <c r="P21" s="16"/>
      <c r="Q21" s="16"/>
    </row>
    <row r="22" ht="22.5" customHeight="1">
      <c r="B22" s="26" t="s">
        <v>54</v>
      </c>
      <c r="C22" s="26">
        <v>5.0</v>
      </c>
      <c r="D22" s="26">
        <v>5000.0</v>
      </c>
      <c r="E22" s="27">
        <f t="shared" si="6"/>
        <v>25000</v>
      </c>
      <c r="H22" s="24" t="s">
        <v>14</v>
      </c>
      <c r="I22" s="25">
        <v>75.0</v>
      </c>
    </row>
    <row r="23" ht="22.5" customHeight="1">
      <c r="B23" s="26" t="s">
        <v>55</v>
      </c>
      <c r="C23" s="26">
        <v>2.0</v>
      </c>
      <c r="D23" s="26">
        <v>10500.0</v>
      </c>
      <c r="E23" s="27">
        <f t="shared" si="6"/>
        <v>21000</v>
      </c>
    </row>
    <row r="24" ht="22.5" customHeight="1">
      <c r="B24" s="26" t="s">
        <v>56</v>
      </c>
      <c r="C24" s="26">
        <v>2.0</v>
      </c>
      <c r="D24" s="26">
        <v>50000.0</v>
      </c>
      <c r="E24" s="27">
        <f t="shared" si="6"/>
        <v>100000</v>
      </c>
    </row>
    <row r="25" ht="22.5" customHeight="1">
      <c r="B25" s="26" t="s">
        <v>57</v>
      </c>
      <c r="C25" s="26">
        <v>2.0</v>
      </c>
      <c r="D25" s="26">
        <v>40000.0</v>
      </c>
      <c r="E25" s="27">
        <f t="shared" si="6"/>
        <v>80000</v>
      </c>
      <c r="G25" s="28" t="s">
        <v>58</v>
      </c>
      <c r="H25" s="28">
        <v>10000.0</v>
      </c>
      <c r="I25" s="29"/>
      <c r="J25" s="28" t="s">
        <v>59</v>
      </c>
    </row>
    <row r="26" ht="22.5" customHeight="1">
      <c r="B26" s="26" t="s">
        <v>60</v>
      </c>
      <c r="C26" s="26">
        <v>3.0</v>
      </c>
      <c r="D26" s="26">
        <v>50000.0</v>
      </c>
      <c r="E26" s="27">
        <f t="shared" si="6"/>
        <v>150000</v>
      </c>
      <c r="G26" s="30" t="s">
        <v>61</v>
      </c>
      <c r="H26" s="31">
        <v>100000.0</v>
      </c>
      <c r="I26" s="30"/>
      <c r="J26" s="30" t="s">
        <v>62</v>
      </c>
    </row>
    <row r="27" ht="22.5" customHeight="1">
      <c r="B27" s="32" t="s">
        <v>63</v>
      </c>
      <c r="D27" s="26">
        <v>250000.0</v>
      </c>
      <c r="E27" s="33">
        <f>D27</f>
        <v>250000</v>
      </c>
      <c r="G27" s="34" t="s">
        <v>64</v>
      </c>
      <c r="H27" s="35">
        <v>174000.0</v>
      </c>
      <c r="I27" s="36" t="s">
        <v>65</v>
      </c>
      <c r="J27" s="36" t="s">
        <v>66</v>
      </c>
    </row>
    <row r="28" ht="22.5" customHeight="1">
      <c r="B28" s="26" t="s">
        <v>67</v>
      </c>
      <c r="E28" s="27">
        <f>SUM(E21:E27)</f>
        <v>668000</v>
      </c>
      <c r="G28" s="36" t="s">
        <v>68</v>
      </c>
      <c r="H28" s="35">
        <f>sum(H25:H27)</f>
        <v>284000</v>
      </c>
      <c r="I28" s="35"/>
      <c r="J28" s="34"/>
    </row>
    <row r="29">
      <c r="G29" s="37" t="s">
        <v>69</v>
      </c>
      <c r="H29" s="38">
        <v>50000.0</v>
      </c>
      <c r="I29" s="39" t="s">
        <v>70</v>
      </c>
      <c r="J29" s="37" t="s">
        <v>71</v>
      </c>
    </row>
    <row r="30">
      <c r="B30" s="40" t="s">
        <v>72</v>
      </c>
      <c r="G30" s="37" t="s">
        <v>73</v>
      </c>
      <c r="H30" s="37" t="s">
        <v>74</v>
      </c>
      <c r="I30" s="37"/>
      <c r="J30" s="37"/>
    </row>
    <row r="31">
      <c r="B31" s="40" t="s">
        <v>75</v>
      </c>
      <c r="G31" s="41"/>
      <c r="H31" s="41"/>
      <c r="I31" s="41"/>
      <c r="J31" s="41"/>
    </row>
  </sheetData>
  <dataValidations>
    <dataValidation type="custom" allowBlank="1" showDropDown="1" sqref="B3:I15 E21:E28">
      <formula1>AND(ISNUMBER(B3),(NOT(OR(NOT(ISERROR(DATEVALUE(B3))), AND(ISNUMBER(B3), LEFT(CELL("format", B3))="D")))))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8.88"/>
    <col customWidth="1" min="4" max="4" width="14.25"/>
    <col customWidth="1" min="5" max="5" width="14.13"/>
    <col customWidth="1" min="6" max="6" width="18.63"/>
    <col customWidth="1" min="7" max="7" width="35.5"/>
    <col customWidth="1" min="8" max="8" width="19.13"/>
    <col customWidth="1" min="9" max="9" width="17.25"/>
    <col customWidth="1" min="12" max="12" width="14.38"/>
    <col customWidth="1" min="13" max="13" width="17.25"/>
  </cols>
  <sheetData>
    <row r="2" ht="22.5" customHeight="1">
      <c r="A2" s="42" t="s">
        <v>76</v>
      </c>
      <c r="B2" s="42" t="s">
        <v>77</v>
      </c>
      <c r="C2" s="42" t="s">
        <v>78</v>
      </c>
      <c r="D2" s="42" t="s">
        <v>79</v>
      </c>
      <c r="E2" s="42" t="s">
        <v>80</v>
      </c>
      <c r="F2" s="42" t="s">
        <v>81</v>
      </c>
      <c r="G2" s="42" t="s">
        <v>82</v>
      </c>
      <c r="H2" s="42" t="s">
        <v>83</v>
      </c>
      <c r="I2" s="42" t="s">
        <v>84</v>
      </c>
      <c r="J2" s="43" t="s">
        <v>85</v>
      </c>
    </row>
    <row r="3" ht="22.5" customHeight="1">
      <c r="A3" s="44">
        <v>0.0</v>
      </c>
      <c r="B3" s="44">
        <f t="shared" ref="B3:B19" si="1">A3*290</f>
        <v>0</v>
      </c>
      <c r="C3" s="45">
        <f>A3*N10</f>
        <v>0</v>
      </c>
      <c r="D3" s="44">
        <v>284000.0</v>
      </c>
      <c r="E3" s="45">
        <f t="shared" ref="E3:E19" si="2">C3+D3</f>
        <v>284000</v>
      </c>
      <c r="F3" s="45">
        <f t="shared" ref="F3:F19" si="3">B3-C3</f>
        <v>0</v>
      </c>
      <c r="G3" s="45">
        <f t="shared" ref="G3:G19" si="4">F3-D3</f>
        <v>-284000</v>
      </c>
      <c r="H3" s="45" t="str">
        <f>F3/$B$3</f>
        <v>#DIV/0!</v>
      </c>
      <c r="I3" s="45" t="str">
        <f t="shared" ref="I3:I19" si="5">G3/B3</f>
        <v>#DIV/0!</v>
      </c>
      <c r="J3" s="46"/>
    </row>
    <row r="4" ht="22.5" customHeight="1">
      <c r="A4" s="44">
        <v>500.0</v>
      </c>
      <c r="B4" s="44">
        <f t="shared" si="1"/>
        <v>145000</v>
      </c>
      <c r="C4" s="45">
        <f>A4*N10</f>
        <v>67961.16505</v>
      </c>
      <c r="D4" s="44">
        <v>284000.0</v>
      </c>
      <c r="E4" s="45">
        <f t="shared" si="2"/>
        <v>351961.165</v>
      </c>
      <c r="F4" s="45">
        <f t="shared" si="3"/>
        <v>77038.83495</v>
      </c>
      <c r="G4" s="45">
        <f t="shared" si="4"/>
        <v>-206961.165</v>
      </c>
      <c r="H4" s="45">
        <f t="shared" ref="H4:H19" si="6">F4/B4</f>
        <v>0.53130231</v>
      </c>
      <c r="I4" s="45">
        <f t="shared" si="5"/>
        <v>-1.42731838</v>
      </c>
      <c r="J4" s="46"/>
    </row>
    <row r="5" ht="22.5" customHeight="1">
      <c r="A5" s="44">
        <v>1000.0</v>
      </c>
      <c r="B5" s="44">
        <f t="shared" si="1"/>
        <v>290000</v>
      </c>
      <c r="C5" s="45">
        <f>A5*N10</f>
        <v>135922.3301</v>
      </c>
      <c r="D5" s="44">
        <v>284000.0</v>
      </c>
      <c r="E5" s="45">
        <f t="shared" si="2"/>
        <v>419922.3301</v>
      </c>
      <c r="F5" s="45">
        <f t="shared" si="3"/>
        <v>154077.6699</v>
      </c>
      <c r="G5" s="45">
        <f t="shared" si="4"/>
        <v>-129922.3301</v>
      </c>
      <c r="H5" s="45">
        <f t="shared" si="6"/>
        <v>0.53130231</v>
      </c>
      <c r="I5" s="45">
        <f t="shared" si="5"/>
        <v>-0.4480080348</v>
      </c>
      <c r="J5" s="46"/>
      <c r="L5" s="47" t="s">
        <v>86</v>
      </c>
    </row>
    <row r="6" ht="22.5" customHeight="1">
      <c r="A6" s="44">
        <v>1500.0</v>
      </c>
      <c r="B6" s="44">
        <f t="shared" si="1"/>
        <v>435000</v>
      </c>
      <c r="C6" s="45">
        <f>A6*N10</f>
        <v>203883.4951</v>
      </c>
      <c r="D6" s="44">
        <v>284000.0</v>
      </c>
      <c r="E6" s="45">
        <f t="shared" si="2"/>
        <v>487883.4951</v>
      </c>
      <c r="F6" s="45">
        <f t="shared" si="3"/>
        <v>231116.5049</v>
      </c>
      <c r="G6" s="45">
        <f t="shared" si="4"/>
        <v>-52883.49515</v>
      </c>
      <c r="H6" s="45">
        <f t="shared" si="6"/>
        <v>0.53130231</v>
      </c>
      <c r="I6" s="45">
        <f t="shared" si="5"/>
        <v>-0.1215712532</v>
      </c>
      <c r="J6" s="46"/>
      <c r="L6" s="48" t="s">
        <v>87</v>
      </c>
      <c r="M6" s="48" t="s">
        <v>88</v>
      </c>
      <c r="N6" s="48">
        <v>300000.0</v>
      </c>
    </row>
    <row r="7" ht="22.5" customHeight="1">
      <c r="A7" s="44">
        <v>1600.0</v>
      </c>
      <c r="B7" s="44">
        <f t="shared" si="1"/>
        <v>464000</v>
      </c>
      <c r="C7" s="45">
        <f>A7*N10</f>
        <v>217475.7282</v>
      </c>
      <c r="D7" s="44">
        <v>284000.0</v>
      </c>
      <c r="E7" s="45">
        <f t="shared" si="2"/>
        <v>501475.7282</v>
      </c>
      <c r="F7" s="45">
        <f t="shared" si="3"/>
        <v>246524.2718</v>
      </c>
      <c r="G7" s="45">
        <f t="shared" si="4"/>
        <v>-37475.72816</v>
      </c>
      <c r="H7" s="45">
        <f t="shared" si="6"/>
        <v>0.53130231</v>
      </c>
      <c r="I7" s="45">
        <f t="shared" si="5"/>
        <v>-0.08076665551</v>
      </c>
      <c r="J7" s="46"/>
      <c r="L7" s="48" t="s">
        <v>89</v>
      </c>
      <c r="N7" s="48">
        <v>70000.0</v>
      </c>
    </row>
    <row r="8" ht="22.5" customHeight="1">
      <c r="A8" s="44">
        <v>1700.0</v>
      </c>
      <c r="B8" s="44">
        <f t="shared" si="1"/>
        <v>493000</v>
      </c>
      <c r="C8" s="45">
        <f>A8*N10</f>
        <v>231067.9612</v>
      </c>
      <c r="D8" s="44">
        <v>284000.0</v>
      </c>
      <c r="E8" s="45">
        <f t="shared" si="2"/>
        <v>515067.9612</v>
      </c>
      <c r="F8" s="45">
        <f t="shared" si="3"/>
        <v>261932.0388</v>
      </c>
      <c r="G8" s="45">
        <f t="shared" si="4"/>
        <v>-22067.96117</v>
      </c>
      <c r="H8" s="45">
        <f t="shared" si="6"/>
        <v>0.53130231</v>
      </c>
      <c r="I8" s="45">
        <f t="shared" si="5"/>
        <v>-0.04476259871</v>
      </c>
      <c r="J8" s="46"/>
      <c r="L8" s="48" t="s">
        <v>90</v>
      </c>
      <c r="N8" s="48">
        <v>50000.0</v>
      </c>
    </row>
    <row r="9" ht="22.5" customHeight="1">
      <c r="A9" s="44">
        <v>1800.0</v>
      </c>
      <c r="B9" s="44">
        <f t="shared" si="1"/>
        <v>522000</v>
      </c>
      <c r="C9" s="45">
        <f>A9*N10</f>
        <v>244660.1942</v>
      </c>
      <c r="D9" s="44">
        <v>284000.0</v>
      </c>
      <c r="E9" s="45">
        <f t="shared" si="2"/>
        <v>528660.1942</v>
      </c>
      <c r="F9" s="45">
        <f t="shared" si="3"/>
        <v>277339.8058</v>
      </c>
      <c r="G9" s="45">
        <f t="shared" si="4"/>
        <v>-6660.194175</v>
      </c>
      <c r="H9" s="45">
        <f t="shared" si="6"/>
        <v>0.53130231</v>
      </c>
      <c r="I9" s="45">
        <f t="shared" si="5"/>
        <v>-0.01275899267</v>
      </c>
      <c r="J9" s="46"/>
      <c r="M9" s="48" t="s">
        <v>91</v>
      </c>
      <c r="N9" s="49">
        <f>sum(N6:N8)</f>
        <v>420000</v>
      </c>
    </row>
    <row r="10" ht="22.5" customHeight="1">
      <c r="A10" s="44">
        <v>1820.0</v>
      </c>
      <c r="B10" s="44">
        <f t="shared" si="1"/>
        <v>527800</v>
      </c>
      <c r="C10" s="45">
        <f>A10*N10</f>
        <v>247378.6408</v>
      </c>
      <c r="D10" s="44">
        <v>284000.0</v>
      </c>
      <c r="E10" s="45">
        <f t="shared" si="2"/>
        <v>531378.6408</v>
      </c>
      <c r="F10" s="45">
        <f t="shared" si="3"/>
        <v>280421.3592</v>
      </c>
      <c r="G10" s="45">
        <f t="shared" si="4"/>
        <v>-3578.640777</v>
      </c>
      <c r="H10" s="45">
        <f t="shared" si="6"/>
        <v>0.53130231</v>
      </c>
      <c r="I10" s="45">
        <f t="shared" si="5"/>
        <v>-0.006780297038</v>
      </c>
      <c r="J10" s="46"/>
      <c r="M10" s="48" t="s">
        <v>92</v>
      </c>
      <c r="N10" s="49">
        <f>N9/3090</f>
        <v>135.9223301</v>
      </c>
    </row>
    <row r="11" ht="22.5" customHeight="1">
      <c r="A11" s="44">
        <v>1840.0</v>
      </c>
      <c r="B11" s="44">
        <f t="shared" si="1"/>
        <v>533600</v>
      </c>
      <c r="C11" s="45">
        <f>A11*N10</f>
        <v>250097.0874</v>
      </c>
      <c r="D11" s="44">
        <v>284000.0</v>
      </c>
      <c r="E11" s="45">
        <f t="shared" si="2"/>
        <v>534097.0874</v>
      </c>
      <c r="F11" s="45">
        <f t="shared" si="3"/>
        <v>283502.9126</v>
      </c>
      <c r="G11" s="45">
        <f t="shared" si="4"/>
        <v>-497.0873786</v>
      </c>
      <c r="H11" s="45">
        <f t="shared" si="6"/>
        <v>0.53130231</v>
      </c>
      <c r="I11" s="45">
        <f t="shared" si="5"/>
        <v>-0.0009315730484</v>
      </c>
      <c r="J11" s="46"/>
    </row>
    <row r="12" ht="22.5" customHeight="1">
      <c r="A12" s="44">
        <v>1843.0</v>
      </c>
      <c r="B12" s="44">
        <f t="shared" si="1"/>
        <v>534470</v>
      </c>
      <c r="C12" s="45">
        <f>A12*N10</f>
        <v>250504.8544</v>
      </c>
      <c r="D12" s="44">
        <v>284000.0</v>
      </c>
      <c r="E12" s="45">
        <f t="shared" si="2"/>
        <v>534504.8544</v>
      </c>
      <c r="F12" s="45">
        <f t="shared" si="3"/>
        <v>283965.1456</v>
      </c>
      <c r="G12" s="45">
        <f t="shared" si="4"/>
        <v>-34.85436893</v>
      </c>
      <c r="H12" s="45">
        <f t="shared" si="6"/>
        <v>0.53130231</v>
      </c>
      <c r="I12" s="45">
        <f t="shared" si="5"/>
        <v>-0.00006521295663</v>
      </c>
      <c r="J12" s="46"/>
    </row>
    <row r="13" ht="22.5" customHeight="1">
      <c r="A13" s="50">
        <v>1844.0</v>
      </c>
      <c r="B13" s="50">
        <f t="shared" si="1"/>
        <v>534760</v>
      </c>
      <c r="C13" s="51">
        <f>A13*N10</f>
        <v>250640.7767</v>
      </c>
      <c r="D13" s="50">
        <v>284000.0</v>
      </c>
      <c r="E13" s="51">
        <f t="shared" si="2"/>
        <v>534640.7767</v>
      </c>
      <c r="F13" s="51">
        <f t="shared" si="3"/>
        <v>284119.2233</v>
      </c>
      <c r="G13" s="51">
        <f t="shared" si="4"/>
        <v>119.223301</v>
      </c>
      <c r="H13" s="51">
        <f t="shared" si="6"/>
        <v>0.53130231</v>
      </c>
      <c r="I13" s="51">
        <f t="shared" si="5"/>
        <v>0.0002229473053</v>
      </c>
      <c r="J13" s="52" t="s">
        <v>93</v>
      </c>
    </row>
    <row r="14" ht="22.5" customHeight="1">
      <c r="A14" s="44">
        <v>2000.0</v>
      </c>
      <c r="B14" s="44">
        <f t="shared" si="1"/>
        <v>580000</v>
      </c>
      <c r="C14" s="45">
        <f>A14*N10</f>
        <v>271844.6602</v>
      </c>
      <c r="D14" s="44">
        <v>284000.0</v>
      </c>
      <c r="E14" s="45">
        <f t="shared" si="2"/>
        <v>555844.6602</v>
      </c>
      <c r="F14" s="45">
        <f t="shared" si="3"/>
        <v>308155.3398</v>
      </c>
      <c r="G14" s="45">
        <f t="shared" si="4"/>
        <v>24155.33981</v>
      </c>
      <c r="H14" s="45">
        <f t="shared" si="6"/>
        <v>0.53130231</v>
      </c>
      <c r="I14" s="45">
        <f t="shared" si="5"/>
        <v>0.0416471376</v>
      </c>
      <c r="J14" s="46"/>
    </row>
    <row r="15" ht="22.5" customHeight="1">
      <c r="A15" s="44">
        <v>2500.0</v>
      </c>
      <c r="B15" s="44">
        <f t="shared" si="1"/>
        <v>725000</v>
      </c>
      <c r="C15" s="45">
        <f>A15*N10</f>
        <v>339805.8252</v>
      </c>
      <c r="D15" s="44">
        <v>284000.0</v>
      </c>
      <c r="E15" s="45">
        <f t="shared" si="2"/>
        <v>623805.8252</v>
      </c>
      <c r="F15" s="45">
        <f t="shared" si="3"/>
        <v>385194.1748</v>
      </c>
      <c r="G15" s="45">
        <f t="shared" si="4"/>
        <v>101194.1748</v>
      </c>
      <c r="H15" s="45">
        <f t="shared" si="6"/>
        <v>0.53130231</v>
      </c>
      <c r="I15" s="45">
        <f t="shared" si="5"/>
        <v>0.1395781721</v>
      </c>
      <c r="J15" s="46"/>
    </row>
    <row r="16" ht="22.5" customHeight="1">
      <c r="A16" s="44">
        <v>3000.0</v>
      </c>
      <c r="B16" s="44">
        <f t="shared" si="1"/>
        <v>870000</v>
      </c>
      <c r="C16" s="45">
        <f>A16*N10</f>
        <v>407766.9903</v>
      </c>
      <c r="D16" s="44">
        <v>284000.0</v>
      </c>
      <c r="E16" s="45">
        <f t="shared" si="2"/>
        <v>691766.9903</v>
      </c>
      <c r="F16" s="45">
        <f t="shared" si="3"/>
        <v>462233.0097</v>
      </c>
      <c r="G16" s="45">
        <f t="shared" si="4"/>
        <v>178233.0097</v>
      </c>
      <c r="H16" s="45">
        <f t="shared" si="6"/>
        <v>0.53130231</v>
      </c>
      <c r="I16" s="45">
        <f t="shared" si="5"/>
        <v>0.2048655284</v>
      </c>
      <c r="J16" s="46"/>
    </row>
    <row r="17" ht="22.5" customHeight="1">
      <c r="A17" s="44">
        <v>3090.0</v>
      </c>
      <c r="B17" s="44">
        <f t="shared" si="1"/>
        <v>896100</v>
      </c>
      <c r="C17" s="45">
        <f>A17*N10</f>
        <v>420000</v>
      </c>
      <c r="D17" s="44">
        <v>284000.0</v>
      </c>
      <c r="E17" s="45">
        <f t="shared" si="2"/>
        <v>704000</v>
      </c>
      <c r="F17" s="45">
        <f t="shared" si="3"/>
        <v>476100</v>
      </c>
      <c r="G17" s="45">
        <f t="shared" si="4"/>
        <v>192100</v>
      </c>
      <c r="H17" s="45">
        <f t="shared" si="6"/>
        <v>0.53130231</v>
      </c>
      <c r="I17" s="45">
        <f t="shared" si="5"/>
        <v>0.2143733958</v>
      </c>
      <c r="J17" s="46"/>
    </row>
    <row r="18" ht="22.5" customHeight="1">
      <c r="A18" s="44">
        <v>3500.0</v>
      </c>
      <c r="B18" s="44">
        <f t="shared" si="1"/>
        <v>1015000</v>
      </c>
      <c r="C18" s="45">
        <f>A18*N10</f>
        <v>475728.1553</v>
      </c>
      <c r="D18" s="44">
        <v>284000.0</v>
      </c>
      <c r="E18" s="45">
        <f t="shared" si="2"/>
        <v>759728.1553</v>
      </c>
      <c r="F18" s="45">
        <f t="shared" si="3"/>
        <v>539271.8447</v>
      </c>
      <c r="G18" s="45">
        <f t="shared" si="4"/>
        <v>255271.8447</v>
      </c>
      <c r="H18" s="45">
        <f t="shared" si="6"/>
        <v>0.53130231</v>
      </c>
      <c r="I18" s="45">
        <f t="shared" si="5"/>
        <v>0.2514993543</v>
      </c>
      <c r="J18" s="46"/>
    </row>
    <row r="19" ht="22.5" customHeight="1">
      <c r="A19" s="44">
        <v>4000.0</v>
      </c>
      <c r="B19" s="44">
        <f t="shared" si="1"/>
        <v>1160000</v>
      </c>
      <c r="C19" s="45">
        <f>A19*N10</f>
        <v>543689.3204</v>
      </c>
      <c r="D19" s="44">
        <v>284000.0</v>
      </c>
      <c r="E19" s="45">
        <f t="shared" si="2"/>
        <v>827689.3204</v>
      </c>
      <c r="F19" s="45">
        <f t="shared" si="3"/>
        <v>616310.6796</v>
      </c>
      <c r="G19" s="45">
        <f t="shared" si="4"/>
        <v>332310.6796</v>
      </c>
      <c r="H19" s="45">
        <f t="shared" si="6"/>
        <v>0.53130231</v>
      </c>
      <c r="I19" s="45">
        <f t="shared" si="5"/>
        <v>0.2864747238</v>
      </c>
      <c r="J19" s="46"/>
    </row>
    <row r="25">
      <c r="D25" s="53" t="s">
        <v>58</v>
      </c>
      <c r="E25" s="53">
        <v>10000.0</v>
      </c>
      <c r="F25" s="54"/>
      <c r="G25" s="53" t="s">
        <v>59</v>
      </c>
    </row>
    <row r="26">
      <c r="D26" s="55" t="s">
        <v>61</v>
      </c>
      <c r="E26" s="56">
        <v>100000.0</v>
      </c>
      <c r="F26" s="55"/>
      <c r="G26" s="55" t="s">
        <v>62</v>
      </c>
    </row>
    <row r="27">
      <c r="D27" s="57" t="s">
        <v>64</v>
      </c>
      <c r="E27" s="58">
        <v>174000.0</v>
      </c>
      <c r="F27" s="59" t="s">
        <v>65</v>
      </c>
      <c r="G27" s="59" t="s">
        <v>66</v>
      </c>
    </row>
    <row r="28">
      <c r="D28" s="59" t="s">
        <v>68</v>
      </c>
      <c r="E28" s="58">
        <f>sum(E25:E27)</f>
        <v>284000</v>
      </c>
      <c r="F28" s="58"/>
      <c r="G28" s="57"/>
    </row>
    <row r="29">
      <c r="D29" s="60" t="s">
        <v>69</v>
      </c>
      <c r="E29" s="61">
        <v>50000.0</v>
      </c>
      <c r="F29" s="62" t="s">
        <v>70</v>
      </c>
      <c r="G29" s="60" t="s">
        <v>71</v>
      </c>
    </row>
    <row r="30">
      <c r="D30" s="60" t="s">
        <v>73</v>
      </c>
      <c r="E30" s="60" t="s">
        <v>74</v>
      </c>
      <c r="F30" s="60"/>
      <c r="G30" s="60"/>
    </row>
  </sheetData>
  <mergeCells count="1">
    <mergeCell ref="L5:N5"/>
  </mergeCells>
  <dataValidations>
    <dataValidation type="custom" allowBlank="1" showDropDown="1" sqref="A3:I19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6.0"/>
    <col customWidth="1" min="3" max="3" width="21.5"/>
    <col customWidth="1" min="4" max="4" width="17.75"/>
    <col customWidth="1" min="5" max="5" width="26.13"/>
    <col customWidth="1" min="6" max="6" width="29.63"/>
    <col customWidth="1" min="7" max="7" width="19.25"/>
    <col customWidth="1" min="8" max="8" width="20.75"/>
    <col customWidth="1" min="9" max="9" width="16.63"/>
  </cols>
  <sheetData>
    <row r="2">
      <c r="A2" s="63" t="s">
        <v>94</v>
      </c>
      <c r="B2" s="64" t="s">
        <v>95</v>
      </c>
      <c r="C2" s="64" t="s">
        <v>96</v>
      </c>
      <c r="D2" s="64" t="s">
        <v>97</v>
      </c>
      <c r="E2" s="64" t="s">
        <v>98</v>
      </c>
      <c r="F2" s="64" t="s">
        <v>99</v>
      </c>
      <c r="G2" s="64" t="s">
        <v>100</v>
      </c>
      <c r="H2" s="64" t="s">
        <v>101</v>
      </c>
      <c r="I2" s="64" t="s">
        <v>102</v>
      </c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30.75" customHeight="1">
      <c r="A3" s="66" t="s">
        <v>103</v>
      </c>
      <c r="B3" s="67">
        <v>10.0</v>
      </c>
      <c r="C3" s="67">
        <v>8.0</v>
      </c>
      <c r="D3" s="67">
        <v>7.0</v>
      </c>
      <c r="E3" s="67">
        <v>9.0</v>
      </c>
      <c r="F3" s="67">
        <v>6.0</v>
      </c>
      <c r="G3" s="68">
        <v>4.0</v>
      </c>
      <c r="H3" s="68">
        <v>7.0</v>
      </c>
      <c r="I3" s="68">
        <v>9.0</v>
      </c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ht="21.75" customHeight="1">
      <c r="A4" s="66" t="s">
        <v>104</v>
      </c>
      <c r="B4" s="67">
        <v>289.0</v>
      </c>
      <c r="C4" s="67">
        <v>169.0</v>
      </c>
      <c r="D4" s="67">
        <v>199.0</v>
      </c>
      <c r="E4" s="67">
        <v>239.0</v>
      </c>
      <c r="F4" s="67">
        <v>289.0</v>
      </c>
      <c r="G4" s="68">
        <v>259.0</v>
      </c>
      <c r="H4" s="68">
        <v>259.0</v>
      </c>
      <c r="I4" s="68">
        <v>159.0</v>
      </c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>
      <c r="A5" s="66" t="s">
        <v>105</v>
      </c>
      <c r="B5" s="67">
        <f t="shared" ref="B5:I5" si="1">0.4687*B4</f>
        <v>135.4543</v>
      </c>
      <c r="C5" s="67">
        <f t="shared" si="1"/>
        <v>79.2103</v>
      </c>
      <c r="D5" s="67">
        <f t="shared" si="1"/>
        <v>93.2713</v>
      </c>
      <c r="E5" s="67">
        <f t="shared" si="1"/>
        <v>112.0193</v>
      </c>
      <c r="F5" s="67">
        <f t="shared" si="1"/>
        <v>135.4543</v>
      </c>
      <c r="G5" s="67">
        <f t="shared" si="1"/>
        <v>121.3933</v>
      </c>
      <c r="H5" s="67">
        <f t="shared" si="1"/>
        <v>121.3933</v>
      </c>
      <c r="I5" s="67">
        <f t="shared" si="1"/>
        <v>74.5233</v>
      </c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>
      <c r="A6" s="66" t="s">
        <v>106</v>
      </c>
      <c r="B6" s="70">
        <f t="shared" ref="B6:I6" si="2">B4-B5</f>
        <v>153.5457</v>
      </c>
      <c r="C6" s="70">
        <f t="shared" si="2"/>
        <v>89.7897</v>
      </c>
      <c r="D6" s="70">
        <f t="shared" si="2"/>
        <v>105.7287</v>
      </c>
      <c r="E6" s="70">
        <f t="shared" si="2"/>
        <v>126.9807</v>
      </c>
      <c r="F6" s="71">
        <f t="shared" si="2"/>
        <v>153.5457</v>
      </c>
      <c r="G6" s="71">
        <f t="shared" si="2"/>
        <v>137.6067</v>
      </c>
      <c r="H6" s="71">
        <f t="shared" si="2"/>
        <v>137.6067</v>
      </c>
      <c r="I6" s="71">
        <f t="shared" si="2"/>
        <v>84.4767</v>
      </c>
      <c r="J6" s="72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>
      <c r="A7" s="66" t="s">
        <v>107</v>
      </c>
      <c r="B7" s="73">
        <v>284000.0</v>
      </c>
      <c r="C7" s="74"/>
      <c r="D7" s="74"/>
      <c r="E7" s="74"/>
      <c r="F7" s="74"/>
      <c r="G7" s="74"/>
      <c r="H7" s="74"/>
      <c r="I7" s="75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12">
      <c r="A12" s="76" t="s">
        <v>108</v>
      </c>
      <c r="B12" s="77"/>
      <c r="C12" s="77"/>
      <c r="D12" s="77"/>
      <c r="E12" s="78" t="s">
        <v>109</v>
      </c>
      <c r="F12" s="79"/>
      <c r="G12" s="79"/>
      <c r="H12" s="79"/>
      <c r="I12" s="7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>
      <c r="A13" s="80" t="s">
        <v>110</v>
      </c>
      <c r="B13" s="81"/>
      <c r="C13" s="81"/>
      <c r="D13" s="81"/>
      <c r="E13" s="82">
        <f>B6*B3+C6*C3+D6*D3+E6*E3+F6*F3+G6*G3+H6*H3+I6*I3</f>
        <v>7331.94</v>
      </c>
      <c r="F13" s="81"/>
      <c r="G13" s="81"/>
      <c r="H13" s="81"/>
      <c r="I13" s="81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>
      <c r="A14" s="83" t="s">
        <v>79</v>
      </c>
      <c r="B14" s="81"/>
      <c r="C14" s="81"/>
      <c r="D14" s="81"/>
      <c r="E14" s="84">
        <f>B7</f>
        <v>284000</v>
      </c>
      <c r="F14" s="81"/>
      <c r="G14" s="81"/>
      <c r="H14" s="81"/>
      <c r="I14" s="81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>
      <c r="A15" s="83" t="s">
        <v>111</v>
      </c>
      <c r="B15" s="81"/>
      <c r="C15" s="81"/>
      <c r="D15" s="81"/>
      <c r="E15" s="70">
        <f>E14/E13</f>
        <v>38.73463231</v>
      </c>
      <c r="F15" s="81"/>
      <c r="G15" s="81"/>
      <c r="H15" s="81"/>
      <c r="I15" s="81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>
      <c r="A16" s="85"/>
      <c r="B16" s="76" t="str">
        <f t="shared" ref="B16:I16" si="3">B2</f>
        <v>Cheesy Paneer tikka</v>
      </c>
      <c r="C16" s="76" t="str">
        <f t="shared" si="3"/>
        <v>Aloo patty</v>
      </c>
      <c r="D16" s="76" t="str">
        <f t="shared" si="3"/>
        <v>Veg shami</v>
      </c>
      <c r="E16" s="76" t="str">
        <f t="shared" si="3"/>
        <v>Chicken Keema Melt</v>
      </c>
      <c r="F16" s="76" t="str">
        <f t="shared" si="3"/>
        <v>Tandoori chicken Tikka</v>
      </c>
      <c r="G16" s="76" t="str">
        <f t="shared" si="3"/>
        <v>American BBQ</v>
      </c>
      <c r="H16" s="76" t="str">
        <f t="shared" si="3"/>
        <v>Cheesy mexican</v>
      </c>
      <c r="I16" s="76" t="str">
        <f t="shared" si="3"/>
        <v>Veggie Delite</v>
      </c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>
      <c r="A17" s="83" t="s">
        <v>112</v>
      </c>
      <c r="B17" s="82">
        <f>ROUNDUP(E15*B3,0)</f>
        <v>388</v>
      </c>
      <c r="C17" s="82">
        <f>ROUNDUP(E15*C3,0)</f>
        <v>310</v>
      </c>
      <c r="D17" s="82">
        <f>ROUNDUP(E15*D3,0)</f>
        <v>272</v>
      </c>
      <c r="E17" s="82">
        <f>ROUNDUP(E15*E3,0)</f>
        <v>349</v>
      </c>
      <c r="F17" s="82">
        <f>ROUNDUP(E15*F3,0)</f>
        <v>233</v>
      </c>
      <c r="G17" s="82">
        <f>ROUNDUP(E15*G3,0)</f>
        <v>155</v>
      </c>
      <c r="H17" s="82">
        <f>ROUNDUP(E15*H3,0)</f>
        <v>272</v>
      </c>
      <c r="I17" s="82">
        <f>ROUNDUP(E15*I3,0)</f>
        <v>349</v>
      </c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20">
      <c r="B20" s="86" t="s">
        <v>113</v>
      </c>
    </row>
  </sheetData>
  <mergeCells count="1">
    <mergeCell ref="B7:I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24.25"/>
    <col customWidth="1" min="4" max="4" width="15.38"/>
    <col customWidth="1" min="5" max="5" width="15.5"/>
    <col customWidth="1" min="6" max="6" width="20.38"/>
    <col customWidth="1" min="7" max="7" width="15.63"/>
    <col customWidth="1" min="8" max="8" width="15.38"/>
    <col customWidth="1" min="9" max="9" width="15.25"/>
    <col customWidth="1" min="10" max="10" width="14.25"/>
    <col customWidth="1" min="11" max="11" width="14.88"/>
    <col customWidth="1" min="12" max="12" width="17.63"/>
    <col customWidth="1" min="13" max="13" width="14.0"/>
  </cols>
  <sheetData>
    <row r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>
      <c r="A2" s="69"/>
      <c r="B2" s="69"/>
      <c r="C2" s="69"/>
      <c r="D2" s="69"/>
      <c r="E2" s="40" t="s">
        <v>114</v>
      </c>
      <c r="F2" s="87" t="s">
        <v>115</v>
      </c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ht="22.5" customHeight="1">
      <c r="A3" s="69"/>
      <c r="B3" s="88" t="s">
        <v>116</v>
      </c>
      <c r="C3" s="88" t="s">
        <v>117</v>
      </c>
      <c r="D3" s="88" t="s">
        <v>118</v>
      </c>
      <c r="E3" s="88" t="s">
        <v>119</v>
      </c>
      <c r="F3" s="88" t="s">
        <v>120</v>
      </c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ht="22.5" customHeight="1">
      <c r="A4" s="69"/>
      <c r="B4" s="89" t="s">
        <v>121</v>
      </c>
      <c r="C4" s="89" t="s">
        <v>122</v>
      </c>
      <c r="D4" s="90">
        <v>235.0</v>
      </c>
      <c r="E4" s="91" t="s">
        <v>123</v>
      </c>
      <c r="F4" s="89" t="s">
        <v>124</v>
      </c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ht="22.5" customHeight="1">
      <c r="A5" s="69"/>
      <c r="B5" s="92" t="s">
        <v>121</v>
      </c>
      <c r="C5" s="92" t="s">
        <v>125</v>
      </c>
      <c r="D5" s="93">
        <v>150.0</v>
      </c>
      <c r="E5" s="94" t="s">
        <v>123</v>
      </c>
      <c r="F5" s="92" t="s">
        <v>126</v>
      </c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22.5" customHeight="1">
      <c r="A6" s="69"/>
      <c r="B6" s="92" t="s">
        <v>121</v>
      </c>
      <c r="C6" s="92" t="s">
        <v>127</v>
      </c>
      <c r="D6" s="93">
        <v>480.0</v>
      </c>
      <c r="E6" s="94" t="s">
        <v>123</v>
      </c>
      <c r="F6" s="92" t="s">
        <v>128</v>
      </c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ht="22.5" customHeight="1">
      <c r="A7" s="69"/>
      <c r="B7" s="92" t="s">
        <v>129</v>
      </c>
      <c r="C7" s="92" t="s">
        <v>130</v>
      </c>
      <c r="D7" s="93">
        <v>15.0</v>
      </c>
      <c r="E7" s="94" t="s">
        <v>123</v>
      </c>
      <c r="F7" s="92" t="s">
        <v>131</v>
      </c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ht="22.5" customHeight="1">
      <c r="A8" s="69"/>
      <c r="B8" s="92" t="s">
        <v>129</v>
      </c>
      <c r="C8" s="92" t="s">
        <v>132</v>
      </c>
      <c r="D8" s="93">
        <v>17.0</v>
      </c>
      <c r="E8" s="94" t="s">
        <v>123</v>
      </c>
      <c r="F8" s="92" t="s">
        <v>133</v>
      </c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22.5" customHeight="1">
      <c r="A9" s="69"/>
      <c r="B9" s="92" t="s">
        <v>129</v>
      </c>
      <c r="C9" s="92" t="s">
        <v>134</v>
      </c>
      <c r="D9" s="93">
        <v>25.0</v>
      </c>
      <c r="E9" s="94" t="s">
        <v>123</v>
      </c>
      <c r="F9" s="92" t="s">
        <v>135</v>
      </c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ht="22.5" customHeight="1">
      <c r="A10" s="69"/>
      <c r="B10" s="92" t="s">
        <v>129</v>
      </c>
      <c r="C10" s="92" t="s">
        <v>136</v>
      </c>
      <c r="D10" s="93">
        <v>49.0</v>
      </c>
      <c r="E10" s="94" t="s">
        <v>123</v>
      </c>
      <c r="F10" s="92" t="s">
        <v>137</v>
      </c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ht="22.5" customHeight="1">
      <c r="A11" s="69"/>
      <c r="B11" s="92" t="s">
        <v>129</v>
      </c>
      <c r="C11" s="92" t="s">
        <v>138</v>
      </c>
      <c r="D11" s="93">
        <v>70.0</v>
      </c>
      <c r="E11" s="94" t="s">
        <v>123</v>
      </c>
      <c r="F11" s="92" t="s">
        <v>139</v>
      </c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22.5" customHeight="1">
      <c r="A12" s="69"/>
      <c r="B12" s="92" t="s">
        <v>129</v>
      </c>
      <c r="C12" s="92" t="s">
        <v>140</v>
      </c>
      <c r="D12" s="93">
        <v>20.0</v>
      </c>
      <c r="E12" s="94" t="s">
        <v>123</v>
      </c>
      <c r="F12" s="92" t="s">
        <v>141</v>
      </c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ht="22.5" customHeight="1">
      <c r="A13" s="69"/>
      <c r="B13" s="92" t="s">
        <v>142</v>
      </c>
      <c r="C13" s="92" t="s">
        <v>143</v>
      </c>
      <c r="D13" s="93">
        <v>20.0</v>
      </c>
      <c r="E13" s="94" t="s">
        <v>144</v>
      </c>
      <c r="F13" s="92" t="s">
        <v>145</v>
      </c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ht="22.5" customHeight="1">
      <c r="A14" s="69"/>
      <c r="B14" s="92" t="s">
        <v>146</v>
      </c>
      <c r="C14" s="92" t="s">
        <v>147</v>
      </c>
      <c r="D14" s="93">
        <v>55.0</v>
      </c>
      <c r="E14" s="94" t="s">
        <v>123</v>
      </c>
      <c r="F14" s="92" t="s">
        <v>148</v>
      </c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ht="22.5" customHeight="1">
      <c r="A15" s="69"/>
      <c r="B15" s="92" t="s">
        <v>146</v>
      </c>
      <c r="C15" s="92" t="s">
        <v>149</v>
      </c>
      <c r="D15" s="93">
        <v>160.0</v>
      </c>
      <c r="E15" s="94" t="s">
        <v>123</v>
      </c>
      <c r="F15" s="92" t="s">
        <v>150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ht="22.5" customHeight="1">
      <c r="A16" s="69"/>
      <c r="B16" s="92" t="s">
        <v>151</v>
      </c>
      <c r="C16" s="92" t="s">
        <v>152</v>
      </c>
      <c r="D16" s="93">
        <v>6.0</v>
      </c>
      <c r="E16" s="94" t="s">
        <v>153</v>
      </c>
      <c r="F16" s="92" t="s">
        <v>154</v>
      </c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ht="22.5" customHeight="1">
      <c r="A23" s="69"/>
      <c r="B23" s="88" t="s">
        <v>155</v>
      </c>
      <c r="C23" s="88" t="s">
        <v>116</v>
      </c>
      <c r="D23" s="88" t="s">
        <v>156</v>
      </c>
      <c r="E23" s="88" t="s">
        <v>157</v>
      </c>
      <c r="F23" s="88" t="s">
        <v>158</v>
      </c>
      <c r="G23" s="88" t="s">
        <v>159</v>
      </c>
      <c r="H23" s="88" t="s">
        <v>160</v>
      </c>
      <c r="I23" s="88" t="s">
        <v>161</v>
      </c>
      <c r="J23" s="88" t="s">
        <v>151</v>
      </c>
      <c r="K23" s="88" t="s">
        <v>162</v>
      </c>
      <c r="L23" s="88" t="s">
        <v>163</v>
      </c>
      <c r="M23" s="88" t="s">
        <v>164</v>
      </c>
      <c r="N23" s="95" t="s">
        <v>165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ht="22.5" customHeight="1">
      <c r="A24" s="69"/>
      <c r="B24" s="89" t="s">
        <v>166</v>
      </c>
      <c r="C24" s="91" t="s">
        <v>167</v>
      </c>
      <c r="D24" s="90">
        <v>289.0</v>
      </c>
      <c r="E24" s="90">
        <v>40.0</v>
      </c>
      <c r="F24" s="90">
        <v>20.0</v>
      </c>
      <c r="G24" s="90">
        <v>15.0</v>
      </c>
      <c r="H24" s="90">
        <v>10.0</v>
      </c>
      <c r="I24" s="90">
        <v>4.8</v>
      </c>
      <c r="J24" s="90">
        <v>6.0</v>
      </c>
      <c r="K24" s="90">
        <f t="shared" ref="K24:K31" si="1">E24+F24+G24+H24+I24+J24</f>
        <v>95.8</v>
      </c>
      <c r="L24" s="90">
        <f t="shared" ref="L24:L31" si="2">D24-K24</f>
        <v>193.2</v>
      </c>
      <c r="M24" s="96">
        <f t="shared" ref="M24:M31" si="3">L24/D24</f>
        <v>0.6685121107</v>
      </c>
      <c r="N24" s="97">
        <f t="shared" ref="N24:N31" si="4">L24/K24%</f>
        <v>201.6701461</v>
      </c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ht="22.5" customHeight="1">
      <c r="A25" s="69"/>
      <c r="B25" s="92" t="s">
        <v>168</v>
      </c>
      <c r="C25" s="94" t="s">
        <v>167</v>
      </c>
      <c r="D25" s="93">
        <v>169.0</v>
      </c>
      <c r="E25" s="93">
        <v>10.0</v>
      </c>
      <c r="F25" s="90">
        <v>20.0</v>
      </c>
      <c r="G25" s="93">
        <v>5.0</v>
      </c>
      <c r="H25" s="93">
        <v>5.0</v>
      </c>
      <c r="I25" s="93">
        <v>4.8</v>
      </c>
      <c r="J25" s="93">
        <v>6.0</v>
      </c>
      <c r="K25" s="90">
        <f t="shared" si="1"/>
        <v>50.8</v>
      </c>
      <c r="L25" s="90">
        <f t="shared" si="2"/>
        <v>118.2</v>
      </c>
      <c r="M25" s="96">
        <f t="shared" si="3"/>
        <v>0.699408284</v>
      </c>
      <c r="N25" s="97">
        <f t="shared" si="4"/>
        <v>232.6771654</v>
      </c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ht="22.5" customHeight="1">
      <c r="A26" s="69"/>
      <c r="B26" s="92" t="s">
        <v>169</v>
      </c>
      <c r="C26" s="94" t="s">
        <v>167</v>
      </c>
      <c r="D26" s="93">
        <v>199.0</v>
      </c>
      <c r="E26" s="93">
        <v>10.0</v>
      </c>
      <c r="F26" s="90">
        <v>20.0</v>
      </c>
      <c r="G26" s="93">
        <v>20.0</v>
      </c>
      <c r="H26" s="93">
        <v>5.0</v>
      </c>
      <c r="I26" s="93">
        <v>4.8</v>
      </c>
      <c r="J26" s="93">
        <v>6.0</v>
      </c>
      <c r="K26" s="90">
        <f t="shared" si="1"/>
        <v>65.8</v>
      </c>
      <c r="L26" s="90">
        <f t="shared" si="2"/>
        <v>133.2</v>
      </c>
      <c r="M26" s="96">
        <f t="shared" si="3"/>
        <v>0.6693467337</v>
      </c>
      <c r="N26" s="97">
        <f t="shared" si="4"/>
        <v>202.4316109</v>
      </c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ht="22.5" customHeight="1">
      <c r="A27" s="69"/>
      <c r="B27" s="92" t="s">
        <v>98</v>
      </c>
      <c r="C27" s="94" t="s">
        <v>170</v>
      </c>
      <c r="D27" s="93">
        <v>239.0</v>
      </c>
      <c r="E27" s="93">
        <v>30.0</v>
      </c>
      <c r="F27" s="90">
        <v>20.0</v>
      </c>
      <c r="G27" s="93">
        <v>10.0</v>
      </c>
      <c r="H27" s="93">
        <v>5.0</v>
      </c>
      <c r="I27" s="93">
        <v>4.8</v>
      </c>
      <c r="J27" s="93">
        <v>6.0</v>
      </c>
      <c r="K27" s="90">
        <f t="shared" si="1"/>
        <v>75.8</v>
      </c>
      <c r="L27" s="90">
        <f t="shared" si="2"/>
        <v>163.2</v>
      </c>
      <c r="M27" s="96">
        <f t="shared" si="3"/>
        <v>0.6828451883</v>
      </c>
      <c r="N27" s="97">
        <f t="shared" si="4"/>
        <v>215.3034301</v>
      </c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22.5" customHeight="1">
      <c r="A28" s="69"/>
      <c r="B28" s="92" t="s">
        <v>171</v>
      </c>
      <c r="C28" s="94" t="s">
        <v>170</v>
      </c>
      <c r="D28" s="93">
        <v>239.0</v>
      </c>
      <c r="E28" s="93">
        <v>20.0</v>
      </c>
      <c r="F28" s="90">
        <v>20.0</v>
      </c>
      <c r="G28" s="93">
        <v>10.0</v>
      </c>
      <c r="H28" s="93">
        <v>5.0</v>
      </c>
      <c r="I28" s="93">
        <v>4.8</v>
      </c>
      <c r="J28" s="93">
        <v>6.0</v>
      </c>
      <c r="K28" s="90">
        <f t="shared" si="1"/>
        <v>65.8</v>
      </c>
      <c r="L28" s="90">
        <f t="shared" si="2"/>
        <v>173.2</v>
      </c>
      <c r="M28" s="96">
        <f t="shared" si="3"/>
        <v>0.7246861925</v>
      </c>
      <c r="N28" s="97">
        <f t="shared" si="4"/>
        <v>263.2218845</v>
      </c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ht="22.5" customHeight="1">
      <c r="A29" s="69"/>
      <c r="B29" s="92" t="s">
        <v>172</v>
      </c>
      <c r="C29" s="94" t="s">
        <v>170</v>
      </c>
      <c r="D29" s="93">
        <v>259.0</v>
      </c>
      <c r="E29" s="93">
        <v>30.0</v>
      </c>
      <c r="F29" s="90">
        <v>20.0</v>
      </c>
      <c r="G29" s="93">
        <v>15.0</v>
      </c>
      <c r="H29" s="93">
        <v>10.0</v>
      </c>
      <c r="I29" s="93">
        <v>4.8</v>
      </c>
      <c r="J29" s="93">
        <v>6.0</v>
      </c>
      <c r="K29" s="90">
        <f t="shared" si="1"/>
        <v>85.8</v>
      </c>
      <c r="L29" s="90">
        <f t="shared" si="2"/>
        <v>173.2</v>
      </c>
      <c r="M29" s="96">
        <f t="shared" si="3"/>
        <v>0.6687258687</v>
      </c>
      <c r="N29" s="97">
        <f t="shared" si="4"/>
        <v>201.8648019</v>
      </c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ht="22.5" customHeight="1">
      <c r="A30" s="69"/>
      <c r="B30" s="92" t="s">
        <v>173</v>
      </c>
      <c r="C30" s="94" t="s">
        <v>170</v>
      </c>
      <c r="D30" s="93">
        <v>259.0</v>
      </c>
      <c r="E30" s="93">
        <v>20.0</v>
      </c>
      <c r="F30" s="90">
        <v>20.0</v>
      </c>
      <c r="G30" s="93">
        <v>20.0</v>
      </c>
      <c r="H30" s="93">
        <v>10.0</v>
      </c>
      <c r="I30" s="93">
        <v>4.8</v>
      </c>
      <c r="J30" s="93">
        <v>6.0</v>
      </c>
      <c r="K30" s="90">
        <f t="shared" si="1"/>
        <v>80.8</v>
      </c>
      <c r="L30" s="90">
        <f t="shared" si="2"/>
        <v>178.2</v>
      </c>
      <c r="M30" s="96">
        <f t="shared" si="3"/>
        <v>0.688030888</v>
      </c>
      <c r="N30" s="97">
        <f t="shared" si="4"/>
        <v>220.5445545</v>
      </c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22.5" customHeight="1">
      <c r="A31" s="69"/>
      <c r="B31" s="98" t="s">
        <v>102</v>
      </c>
      <c r="C31" s="99" t="s">
        <v>167</v>
      </c>
      <c r="D31" s="100">
        <v>159.0</v>
      </c>
      <c r="E31" s="100">
        <v>10.0</v>
      </c>
      <c r="F31" s="101">
        <v>20.0</v>
      </c>
      <c r="G31" s="100">
        <v>20.0</v>
      </c>
      <c r="H31" s="100">
        <v>5.0</v>
      </c>
      <c r="I31" s="100">
        <v>4.8</v>
      </c>
      <c r="J31" s="100">
        <v>6.0</v>
      </c>
      <c r="K31" s="101">
        <f t="shared" si="1"/>
        <v>65.8</v>
      </c>
      <c r="L31" s="101">
        <f t="shared" si="2"/>
        <v>93.2</v>
      </c>
      <c r="M31" s="102">
        <f t="shared" si="3"/>
        <v>0.586163522</v>
      </c>
      <c r="N31" s="97">
        <f t="shared" si="4"/>
        <v>141.6413374</v>
      </c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>
      <c r="A32" s="69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>
      <c r="A34" s="69"/>
      <c r="B34" s="69"/>
      <c r="C34" s="69"/>
      <c r="D34" s="69"/>
      <c r="E34" s="40" t="s">
        <v>174</v>
      </c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>
      <c r="A35" s="69"/>
      <c r="B35" s="69"/>
      <c r="C35" s="69"/>
      <c r="D35" s="69"/>
      <c r="E35" s="40" t="s">
        <v>175</v>
      </c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>
      <c r="A36" s="69"/>
      <c r="B36" s="69"/>
      <c r="C36" s="69"/>
      <c r="D36" s="69"/>
      <c r="E36" s="40" t="s">
        <v>176</v>
      </c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dataValidations>
    <dataValidation type="list" allowBlank="1" showDropDown="1" showErrorMessage="1" sqref="C24:C31">
      <formula1>"Veg,Non-Veg"</formula1>
    </dataValidation>
    <dataValidation type="custom" allowBlank="1" showDropDown="1" sqref="D4:D16 D24:M31">
      <formula1>AND(ISNUMBER(D4),(NOT(OR(NOT(ISERROR(DATEVALUE(D4))), AND(ISNUMBER(D4), LEFT(CELL("format", D4))="D")))))</formula1>
    </dataValidation>
    <dataValidation type="list" allowBlank="1" showDropDown="1" showErrorMessage="1" sqref="E4:E16">
      <formula1>"Kg,Pc,Set"</formula1>
    </dataValidation>
  </dataValidations>
  <hyperlinks>
    <hyperlink r:id="rId1" ref="F2"/>
  </hyperlinks>
  <drawing r:id="rId2"/>
  <tableParts count="2">
    <tablePart r:id="rId5"/>
    <tablePart r:id="rId6"/>
  </tableParts>
</worksheet>
</file>